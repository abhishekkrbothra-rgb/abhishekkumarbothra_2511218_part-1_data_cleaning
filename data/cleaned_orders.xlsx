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e7bb53bedb632c/Documents/BITSOM/ASSIGNMENT/Capstone project/abhishekkumarbothra_2511218_part1_data_cleaning/data/"/>
    </mc:Choice>
  </mc:AlternateContent>
  <xr:revisionPtr revIDLastSave="274" documentId="11_1FD5A050140D7F2077646DFF1D925265F49B9B61" xr6:coauthVersionLast="47" xr6:coauthVersionMax="47" xr10:uidLastSave="{7660A845-05C1-49F4-919C-65B4A618979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raw_orders!$A$1:$AS$913</definedName>
  </definedNames>
  <calcPr calcId="18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2" i="1"/>
  <c r="Y784" i="1" l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2" i="1"/>
  <c r="Z2" i="1" s="1"/>
  <c r="Y3" i="1"/>
  <c r="Z3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80" i="1"/>
  <c r="Z180" i="1" s="1"/>
  <c r="Y181" i="1"/>
  <c r="Z181" i="1" s="1"/>
  <c r="Y182" i="1"/>
  <c r="Z182" i="1" s="1"/>
  <c r="Y184" i="1"/>
  <c r="Z184" i="1" s="1"/>
  <c r="Y186" i="1"/>
  <c r="Z186" i="1" s="1"/>
  <c r="Y212" i="1"/>
  <c r="Z212" i="1" s="1"/>
  <c r="Y216" i="1"/>
  <c r="Z216" i="1" s="1"/>
  <c r="Y219" i="1"/>
  <c r="Z219" i="1" s="1"/>
  <c r="Y221" i="1"/>
  <c r="Z221" i="1" s="1"/>
  <c r="Y223" i="1"/>
  <c r="Z223" i="1" s="1"/>
  <c r="Y225" i="1"/>
  <c r="Z225" i="1" s="1"/>
  <c r="Y227" i="1"/>
  <c r="Z227" i="1" s="1"/>
  <c r="Y229" i="1"/>
  <c r="Z229" i="1" s="1"/>
  <c r="Y231" i="1"/>
  <c r="Z231" i="1" s="1"/>
  <c r="Y233" i="1"/>
  <c r="Z233" i="1" s="1"/>
  <c r="Y234" i="1"/>
  <c r="Z234" i="1" s="1"/>
  <c r="Y236" i="1"/>
  <c r="Z236" i="1" s="1"/>
  <c r="Y238" i="1"/>
  <c r="Z238" i="1" s="1"/>
  <c r="Y240" i="1"/>
  <c r="Z240" i="1" s="1"/>
  <c r="Y242" i="1"/>
  <c r="Z242" i="1" s="1"/>
  <c r="Y244" i="1"/>
  <c r="Z244" i="1" s="1"/>
  <c r="Y247" i="1"/>
  <c r="Z247" i="1" s="1"/>
  <c r="Y249" i="1"/>
  <c r="Z249" i="1" s="1"/>
  <c r="Y251" i="1"/>
  <c r="Z251" i="1" s="1"/>
  <c r="Y253" i="1"/>
  <c r="Z253" i="1" s="1"/>
  <c r="Y255" i="1"/>
  <c r="Z255" i="1" s="1"/>
  <c r="Y257" i="1"/>
  <c r="Z257" i="1" s="1"/>
  <c r="Y259" i="1"/>
  <c r="Z259" i="1" s="1"/>
  <c r="Y261" i="1"/>
  <c r="Z261" i="1" s="1"/>
  <c r="Y263" i="1"/>
  <c r="Z263" i="1" s="1"/>
  <c r="Y265" i="1"/>
  <c r="Z265" i="1" s="1"/>
  <c r="Y267" i="1"/>
  <c r="Z267" i="1" s="1"/>
  <c r="Y269" i="1"/>
  <c r="Z269" i="1" s="1"/>
  <c r="Y271" i="1"/>
  <c r="Z271" i="1" s="1"/>
  <c r="Y273" i="1"/>
  <c r="Z273" i="1" s="1"/>
  <c r="Y275" i="1"/>
  <c r="Z275" i="1" s="1"/>
  <c r="Y277" i="1"/>
  <c r="Z277" i="1" s="1"/>
  <c r="Y280" i="1"/>
  <c r="Z280" i="1" s="1"/>
  <c r="Y281" i="1"/>
  <c r="Z281" i="1" s="1"/>
  <c r="Y283" i="1"/>
  <c r="Z283" i="1" s="1"/>
  <c r="Y285" i="1"/>
  <c r="Z285" i="1" s="1"/>
  <c r="Y287" i="1"/>
  <c r="Z287" i="1" s="1"/>
  <c r="Y289" i="1"/>
  <c r="Z289" i="1" s="1"/>
  <c r="Y291" i="1"/>
  <c r="Z291" i="1" s="1"/>
  <c r="Y294" i="1"/>
  <c r="Z294" i="1" s="1"/>
  <c r="Y296" i="1"/>
  <c r="Z296" i="1" s="1"/>
  <c r="Y298" i="1"/>
  <c r="Z298" i="1" s="1"/>
  <c r="Y300" i="1"/>
  <c r="Z300" i="1" s="1"/>
  <c r="Y302" i="1"/>
  <c r="Z302" i="1" s="1"/>
  <c r="Y304" i="1"/>
  <c r="Z304" i="1" s="1"/>
  <c r="Y306" i="1"/>
  <c r="Z306" i="1" s="1"/>
  <c r="Y309" i="1"/>
  <c r="Z309" i="1" s="1"/>
  <c r="Y311" i="1"/>
  <c r="Z311" i="1" s="1"/>
  <c r="Y313" i="1"/>
  <c r="Z313" i="1" s="1"/>
  <c r="Y315" i="1"/>
  <c r="Z315" i="1" s="1"/>
  <c r="Y319" i="1"/>
  <c r="Z319" i="1" s="1"/>
  <c r="Y321" i="1"/>
  <c r="Z321" i="1" s="1"/>
  <c r="Y323" i="1"/>
  <c r="Z323" i="1" s="1"/>
  <c r="Y326" i="1"/>
  <c r="Z326" i="1" s="1"/>
  <c r="Y328" i="1"/>
  <c r="Z328" i="1" s="1"/>
  <c r="Y330" i="1"/>
  <c r="Z330" i="1" s="1"/>
  <c r="Y332" i="1"/>
  <c r="Z332" i="1" s="1"/>
  <c r="Y334" i="1"/>
  <c r="Z334" i="1" s="1"/>
  <c r="Y336" i="1"/>
  <c r="Z336" i="1" s="1"/>
  <c r="Y339" i="1"/>
  <c r="Z339" i="1" s="1"/>
  <c r="Y341" i="1"/>
  <c r="Z341" i="1" s="1"/>
  <c r="Y343" i="1"/>
  <c r="Z343" i="1" s="1"/>
  <c r="Y344" i="1"/>
  <c r="Z344" i="1" s="1"/>
  <c r="Y346" i="1"/>
  <c r="Z346" i="1" s="1"/>
  <c r="Y349" i="1"/>
  <c r="Z349" i="1" s="1"/>
  <c r="Y351" i="1"/>
  <c r="Z351" i="1" s="1"/>
  <c r="Y355" i="1"/>
  <c r="Z355" i="1" s="1"/>
  <c r="Y358" i="1"/>
  <c r="Z358" i="1" s="1"/>
  <c r="Y365" i="1"/>
  <c r="Z365" i="1" s="1"/>
  <c r="Y367" i="1"/>
  <c r="Z367" i="1" s="1"/>
  <c r="Y370" i="1"/>
  <c r="Z370" i="1" s="1"/>
  <c r="Y374" i="1"/>
  <c r="Z374" i="1" s="1"/>
  <c r="Y377" i="1"/>
  <c r="Z377" i="1" s="1"/>
  <c r="Y380" i="1"/>
  <c r="Z380" i="1" s="1"/>
  <c r="Y383" i="1"/>
  <c r="Z383" i="1" s="1"/>
  <c r="Y391" i="1"/>
  <c r="Z391" i="1" s="1"/>
  <c r="Y402" i="1"/>
  <c r="Z402" i="1" s="1"/>
  <c r="Y411" i="1"/>
  <c r="Z411" i="1" s="1"/>
  <c r="Y416" i="1"/>
  <c r="Z416" i="1" s="1"/>
  <c r="Y421" i="1"/>
  <c r="Z421" i="1" s="1"/>
  <c r="Y428" i="1"/>
  <c r="Z428" i="1" s="1"/>
  <c r="Y434" i="1"/>
  <c r="Z434" i="1" s="1"/>
  <c r="Y441" i="1"/>
  <c r="Z441" i="1" s="1"/>
  <c r="Y446" i="1"/>
  <c r="Z446" i="1" s="1"/>
  <c r="Y450" i="1"/>
  <c r="Z450" i="1" s="1"/>
  <c r="Y471" i="1"/>
  <c r="Z471" i="1" s="1"/>
  <c r="Y479" i="1"/>
  <c r="Z479" i="1" s="1"/>
  <c r="Y485" i="1"/>
  <c r="Z485" i="1" s="1"/>
  <c r="Y491" i="1"/>
  <c r="Z491" i="1" s="1"/>
  <c r="Y495" i="1"/>
  <c r="Z495" i="1" s="1"/>
  <c r="Y499" i="1"/>
  <c r="Z499" i="1" s="1"/>
  <c r="Y505" i="1"/>
  <c r="Z505" i="1" s="1"/>
  <c r="Y508" i="1"/>
  <c r="Z508" i="1" s="1"/>
  <c r="Y512" i="1"/>
  <c r="Z512" i="1" s="1"/>
  <c r="Y516" i="1"/>
  <c r="Z516" i="1" s="1"/>
  <c r="Y521" i="1"/>
  <c r="Z521" i="1" s="1"/>
  <c r="Y526" i="1"/>
  <c r="Z526" i="1" s="1"/>
  <c r="Y529" i="1"/>
  <c r="Z529" i="1" s="1"/>
  <c r="Y538" i="1"/>
  <c r="Z538" i="1" s="1"/>
  <c r="Y542" i="1"/>
  <c r="Z542" i="1" s="1"/>
  <c r="Y545" i="1"/>
  <c r="Z545" i="1" s="1"/>
  <c r="Y549" i="1"/>
  <c r="Z549" i="1" s="1"/>
  <c r="Y551" i="1"/>
  <c r="Z551" i="1" s="1"/>
  <c r="Y555" i="1"/>
  <c r="Z555" i="1" s="1"/>
  <c r="Y563" i="1"/>
  <c r="Z563" i="1" s="1"/>
  <c r="Y568" i="1"/>
  <c r="Z568" i="1" s="1"/>
  <c r="Y570" i="1"/>
  <c r="Z570" i="1" s="1"/>
  <c r="Y573" i="1"/>
  <c r="Z573" i="1" s="1"/>
  <c r="Y579" i="1"/>
  <c r="Z579" i="1" s="1"/>
  <c r="Y586" i="1"/>
  <c r="Z586" i="1" s="1"/>
  <c r="Y588" i="1"/>
  <c r="Z588" i="1" s="1"/>
  <c r="Y592" i="1"/>
  <c r="Z592" i="1" s="1"/>
  <c r="Y594" i="1"/>
  <c r="Z594" i="1" s="1"/>
  <c r="Y597" i="1"/>
  <c r="Z597" i="1" s="1"/>
  <c r="Y601" i="1"/>
  <c r="Z601" i="1" s="1"/>
  <c r="Y604" i="1"/>
  <c r="Z604" i="1" s="1"/>
  <c r="Y606" i="1"/>
  <c r="Z606" i="1" s="1"/>
  <c r="Y609" i="1"/>
  <c r="Z609" i="1" s="1"/>
  <c r="Y612" i="1"/>
  <c r="Z612" i="1" s="1"/>
  <c r="Y615" i="1"/>
  <c r="Z615" i="1" s="1"/>
  <c r="Y619" i="1"/>
  <c r="Z619" i="1" s="1"/>
  <c r="Y622" i="1"/>
  <c r="Z622" i="1" s="1"/>
  <c r="Y624" i="1"/>
  <c r="Z624" i="1" s="1"/>
  <c r="Y627" i="1"/>
  <c r="Z627" i="1" s="1"/>
  <c r="Y631" i="1"/>
  <c r="Z631" i="1" s="1"/>
  <c r="Y636" i="1"/>
  <c r="Z636" i="1" s="1"/>
  <c r="Y639" i="1"/>
  <c r="Z639" i="1" s="1"/>
  <c r="Y642" i="1"/>
  <c r="Z642" i="1" s="1"/>
  <c r="Y645" i="1"/>
  <c r="Z645" i="1" s="1"/>
  <c r="Y647" i="1"/>
  <c r="Z647" i="1" s="1"/>
  <c r="Y650" i="1"/>
  <c r="Z650" i="1" s="1"/>
  <c r="Y653" i="1"/>
  <c r="Z653" i="1" s="1"/>
  <c r="Y656" i="1"/>
  <c r="Z656" i="1" s="1"/>
  <c r="Y659" i="1"/>
  <c r="Z659" i="1" s="1"/>
  <c r="Y664" i="1"/>
  <c r="Z664" i="1" s="1"/>
  <c r="Y666" i="1"/>
  <c r="Z666" i="1" s="1"/>
  <c r="Y669" i="1"/>
  <c r="Z669" i="1" s="1"/>
  <c r="Y672" i="1"/>
  <c r="Z672" i="1" s="1"/>
  <c r="Y674" i="1"/>
  <c r="Z674" i="1" s="1"/>
  <c r="Y677" i="1"/>
  <c r="Z677" i="1" s="1"/>
  <c r="Y684" i="1"/>
  <c r="Z684" i="1" s="1"/>
  <c r="Y688" i="1"/>
  <c r="Z688" i="1" s="1"/>
  <c r="Y691" i="1"/>
  <c r="Z691" i="1" s="1"/>
  <c r="Y694" i="1"/>
  <c r="Z694" i="1" s="1"/>
  <c r="Y698" i="1"/>
  <c r="Z698" i="1" s="1"/>
  <c r="Y700" i="1"/>
  <c r="Z700" i="1" s="1"/>
  <c r="Y702" i="1"/>
  <c r="Z702" i="1" s="1"/>
  <c r="Y705" i="1"/>
  <c r="Z705" i="1" s="1"/>
  <c r="Y709" i="1"/>
  <c r="Z709" i="1" s="1"/>
  <c r="Y712" i="1"/>
  <c r="Z712" i="1" s="1"/>
  <c r="Y716" i="1"/>
  <c r="Z716" i="1" s="1"/>
  <c r="Y719" i="1"/>
  <c r="Z719" i="1" s="1"/>
  <c r="Y722" i="1"/>
  <c r="Z722" i="1" s="1"/>
  <c r="Y726" i="1"/>
  <c r="Z726" i="1" s="1"/>
  <c r="Y729" i="1"/>
  <c r="Z729" i="1" s="1"/>
  <c r="Y733" i="1"/>
  <c r="Z733" i="1" s="1"/>
  <c r="Y737" i="1"/>
  <c r="Z737" i="1" s="1"/>
  <c r="Y742" i="1"/>
  <c r="Z742" i="1" s="1"/>
  <c r="Y746" i="1"/>
  <c r="Z746" i="1" s="1"/>
  <c r="Y749" i="1"/>
  <c r="Z749" i="1" s="1"/>
  <c r="Y752" i="1"/>
  <c r="Z752" i="1" s="1"/>
  <c r="Y756" i="1"/>
  <c r="Z756" i="1" s="1"/>
  <c r="Y760" i="1"/>
  <c r="Z760" i="1" s="1"/>
  <c r="Y763" i="1"/>
  <c r="Z763" i="1" s="1"/>
  <c r="Y767" i="1"/>
  <c r="Z767" i="1" s="1"/>
  <c r="Y770" i="1"/>
  <c r="Z770" i="1" s="1"/>
  <c r="Y774" i="1"/>
  <c r="Z774" i="1" s="1"/>
  <c r="Y778" i="1"/>
  <c r="Z778" i="1" s="1"/>
  <c r="Y781" i="1"/>
  <c r="Z781" i="1" s="1"/>
  <c r="Y859" i="1"/>
  <c r="Z859" i="1" s="1"/>
  <c r="Y11" i="1"/>
  <c r="Z11" i="1" s="1"/>
  <c r="Y308" i="1"/>
  <c r="Z308" i="1" s="1"/>
  <c r="Y331" i="1"/>
  <c r="Z331" i="1" s="1"/>
  <c r="Y337" i="1"/>
  <c r="Z337" i="1" s="1"/>
  <c r="Y340" i="1"/>
  <c r="Z340" i="1" s="1"/>
  <c r="Y342" i="1"/>
  <c r="Z342" i="1" s="1"/>
  <c r="Y345" i="1"/>
  <c r="Z345" i="1" s="1"/>
  <c r="Y347" i="1"/>
  <c r="Z347" i="1" s="1"/>
  <c r="Y350" i="1"/>
  <c r="Z350" i="1" s="1"/>
  <c r="Y352" i="1"/>
  <c r="Z352" i="1" s="1"/>
  <c r="Y356" i="1"/>
  <c r="Z356" i="1" s="1"/>
  <c r="Y361" i="1"/>
  <c r="Z361" i="1" s="1"/>
  <c r="Y364" i="1"/>
  <c r="Z364" i="1" s="1"/>
  <c r="Y371" i="1"/>
  <c r="Z371" i="1" s="1"/>
  <c r="Y376" i="1"/>
  <c r="Z376" i="1" s="1"/>
  <c r="Y379" i="1"/>
  <c r="Z379" i="1" s="1"/>
  <c r="Y382" i="1"/>
  <c r="Z382" i="1" s="1"/>
  <c r="Y395" i="1"/>
  <c r="Z395" i="1" s="1"/>
  <c r="Y401" i="1"/>
  <c r="Z401" i="1" s="1"/>
  <c r="Y408" i="1"/>
  <c r="Z408" i="1" s="1"/>
  <c r="Y417" i="1"/>
  <c r="Z417" i="1" s="1"/>
  <c r="Y422" i="1"/>
  <c r="Z422" i="1" s="1"/>
  <c r="Y427" i="1"/>
  <c r="Z427" i="1" s="1"/>
  <c r="Y433" i="1"/>
  <c r="Z433" i="1" s="1"/>
  <c r="Y437" i="1"/>
  <c r="Z437" i="1" s="1"/>
  <c r="Y442" i="1"/>
  <c r="Z442" i="1" s="1"/>
  <c r="Y445" i="1"/>
  <c r="Z445" i="1" s="1"/>
  <c r="Y448" i="1"/>
  <c r="Z448" i="1" s="1"/>
  <c r="Y453" i="1"/>
  <c r="Z453" i="1" s="1"/>
  <c r="Y458" i="1"/>
  <c r="Z458" i="1" s="1"/>
  <c r="Y463" i="1"/>
  <c r="Z463" i="1" s="1"/>
  <c r="Y468" i="1"/>
  <c r="Z468" i="1" s="1"/>
  <c r="Y473" i="1"/>
  <c r="Z473" i="1" s="1"/>
  <c r="Y480" i="1"/>
  <c r="Z480" i="1" s="1"/>
  <c r="Y488" i="1"/>
  <c r="Z488" i="1" s="1"/>
  <c r="Y9" i="1"/>
  <c r="Z9" i="1" s="1"/>
  <c r="Y539" i="1"/>
  <c r="Z539" i="1" s="1"/>
  <c r="Y552" i="1"/>
  <c r="Z552" i="1" s="1"/>
  <c r="Y558" i="1"/>
  <c r="Z558" i="1" s="1"/>
  <c r="Y562" i="1"/>
  <c r="Z562" i="1" s="1"/>
  <c r="Y567" i="1"/>
  <c r="Z567" i="1" s="1"/>
  <c r="Y576" i="1"/>
  <c r="Z576" i="1" s="1"/>
  <c r="Y581" i="1"/>
  <c r="Z581" i="1" s="1"/>
  <c r="Y587" i="1"/>
  <c r="Z587" i="1" s="1"/>
  <c r="Y591" i="1"/>
  <c r="Z591" i="1" s="1"/>
  <c r="Y595" i="1"/>
  <c r="Z595" i="1" s="1"/>
  <c r="Y598" i="1"/>
  <c r="Z598" i="1" s="1"/>
  <c r="Y600" i="1"/>
  <c r="Z600" i="1" s="1"/>
  <c r="Y603" i="1"/>
  <c r="Z603" i="1" s="1"/>
  <c r="Y607" i="1"/>
  <c r="Z607" i="1" s="1"/>
  <c r="Y610" i="1"/>
  <c r="Z610" i="1" s="1"/>
  <c r="Y614" i="1"/>
  <c r="Z614" i="1" s="1"/>
  <c r="Y617" i="1"/>
  <c r="Z617" i="1" s="1"/>
  <c r="Y620" i="1"/>
  <c r="Z620" i="1" s="1"/>
  <c r="Y623" i="1"/>
  <c r="Z623" i="1" s="1"/>
  <c r="Y626" i="1"/>
  <c r="Z626" i="1" s="1"/>
  <c r="Y629" i="1"/>
  <c r="Z629" i="1" s="1"/>
  <c r="Y633" i="1"/>
  <c r="Z633" i="1" s="1"/>
  <c r="Y637" i="1"/>
  <c r="Z637" i="1" s="1"/>
  <c r="Y10" i="1"/>
  <c r="Z10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179" i="1"/>
  <c r="Z179" i="1" s="1"/>
  <c r="Y183" i="1"/>
  <c r="Z183" i="1" s="1"/>
  <c r="Y185" i="1"/>
  <c r="Z185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3" i="1"/>
  <c r="Z213" i="1" s="1"/>
  <c r="Y214" i="1"/>
  <c r="Z214" i="1" s="1"/>
  <c r="Y215" i="1"/>
  <c r="Z215" i="1" s="1"/>
  <c r="Y217" i="1"/>
  <c r="Z217" i="1" s="1"/>
  <c r="Y218" i="1"/>
  <c r="Z218" i="1" s="1"/>
  <c r="Y220" i="1"/>
  <c r="Z220" i="1" s="1"/>
  <c r="Y222" i="1"/>
  <c r="Z222" i="1" s="1"/>
  <c r="Y224" i="1"/>
  <c r="Z224" i="1" s="1"/>
  <c r="Y226" i="1"/>
  <c r="Z226" i="1" s="1"/>
  <c r="Y228" i="1"/>
  <c r="Z228" i="1" s="1"/>
  <c r="Y230" i="1"/>
  <c r="Z230" i="1" s="1"/>
  <c r="Y232" i="1"/>
  <c r="Z232" i="1" s="1"/>
  <c r="Y235" i="1"/>
  <c r="Z235" i="1" s="1"/>
  <c r="Y237" i="1"/>
  <c r="Z237" i="1" s="1"/>
  <c r="Y239" i="1"/>
  <c r="Z239" i="1" s="1"/>
  <c r="Y241" i="1"/>
  <c r="Z241" i="1" s="1"/>
  <c r="Y243" i="1"/>
  <c r="Z243" i="1" s="1"/>
  <c r="Y245" i="1"/>
  <c r="Z245" i="1" s="1"/>
  <c r="Y246" i="1"/>
  <c r="Z246" i="1" s="1"/>
  <c r="Y248" i="1"/>
  <c r="Z248" i="1" s="1"/>
  <c r="Y250" i="1"/>
  <c r="Z250" i="1" s="1"/>
  <c r="Y252" i="1"/>
  <c r="Z252" i="1" s="1"/>
  <c r="Y254" i="1"/>
  <c r="Z254" i="1" s="1"/>
  <c r="Y256" i="1"/>
  <c r="Z256" i="1" s="1"/>
  <c r="Y258" i="1"/>
  <c r="Z258" i="1" s="1"/>
  <c r="Y260" i="1"/>
  <c r="Z260" i="1" s="1"/>
  <c r="Y262" i="1"/>
  <c r="Z262" i="1" s="1"/>
  <c r="Y264" i="1"/>
  <c r="Z264" i="1" s="1"/>
  <c r="Y266" i="1"/>
  <c r="Z266" i="1" s="1"/>
  <c r="Y268" i="1"/>
  <c r="Z268" i="1" s="1"/>
  <c r="Y270" i="1"/>
  <c r="Z270" i="1" s="1"/>
  <c r="Y272" i="1"/>
  <c r="Z272" i="1" s="1"/>
  <c r="Y274" i="1"/>
  <c r="Z274" i="1" s="1"/>
  <c r="Y276" i="1"/>
  <c r="Z276" i="1" s="1"/>
  <c r="Y278" i="1"/>
  <c r="Z278" i="1" s="1"/>
  <c r="Y279" i="1"/>
  <c r="Z279" i="1" s="1"/>
  <c r="Y282" i="1"/>
  <c r="Z282" i="1" s="1"/>
  <c r="Y284" i="1"/>
  <c r="Z284" i="1" s="1"/>
  <c r="Y286" i="1"/>
  <c r="Z286" i="1" s="1"/>
  <c r="Y288" i="1"/>
  <c r="Z288" i="1" s="1"/>
  <c r="Y290" i="1"/>
  <c r="Z290" i="1" s="1"/>
  <c r="Y292" i="1"/>
  <c r="Z292" i="1" s="1"/>
  <c r="Y295" i="1"/>
  <c r="Z295" i="1" s="1"/>
  <c r="Y297" i="1"/>
  <c r="Z297" i="1" s="1"/>
  <c r="Y299" i="1"/>
  <c r="Z299" i="1" s="1"/>
  <c r="Y301" i="1"/>
  <c r="Z301" i="1" s="1"/>
  <c r="Y303" i="1"/>
  <c r="Z303" i="1" s="1"/>
  <c r="Y305" i="1"/>
  <c r="Z305" i="1" s="1"/>
  <c r="Y307" i="1"/>
  <c r="Z307" i="1" s="1"/>
  <c r="Y310" i="1"/>
  <c r="Z310" i="1" s="1"/>
  <c r="Y312" i="1"/>
  <c r="Z312" i="1" s="1"/>
  <c r="Y314" i="1"/>
  <c r="Z314" i="1" s="1"/>
  <c r="Y316" i="1"/>
  <c r="Z316" i="1" s="1"/>
  <c r="Y318" i="1"/>
  <c r="Z318" i="1" s="1"/>
  <c r="Y320" i="1"/>
  <c r="Z320" i="1" s="1"/>
  <c r="Y322" i="1"/>
  <c r="Z322" i="1" s="1"/>
  <c r="Y324" i="1"/>
  <c r="Z324" i="1" s="1"/>
  <c r="Y348" i="1"/>
  <c r="Z348" i="1" s="1"/>
  <c r="Y354" i="1"/>
  <c r="Z354" i="1" s="1"/>
  <c r="Y357" i="1"/>
  <c r="Z357" i="1" s="1"/>
  <c r="Y360" i="1"/>
  <c r="Z360" i="1" s="1"/>
  <c r="Y368" i="1"/>
  <c r="Z368" i="1" s="1"/>
  <c r="Y373" i="1"/>
  <c r="Z373" i="1" s="1"/>
  <c r="Y378" i="1"/>
  <c r="Z378" i="1" s="1"/>
  <c r="Y386" i="1"/>
  <c r="Z386" i="1" s="1"/>
  <c r="Y390" i="1"/>
  <c r="Z390" i="1" s="1"/>
  <c r="Y394" i="1"/>
  <c r="Z394" i="1" s="1"/>
  <c r="Y398" i="1"/>
  <c r="Z398" i="1" s="1"/>
  <c r="Y404" i="1"/>
  <c r="Z404" i="1" s="1"/>
  <c r="Y409" i="1"/>
  <c r="Z409" i="1" s="1"/>
  <c r="Y412" i="1"/>
  <c r="Z412" i="1" s="1"/>
  <c r="Y414" i="1"/>
  <c r="Z414" i="1" s="1"/>
  <c r="Y418" i="1"/>
  <c r="Z418" i="1" s="1"/>
  <c r="Y423" i="1"/>
  <c r="Z423" i="1" s="1"/>
  <c r="Y426" i="1"/>
  <c r="Z426" i="1" s="1"/>
  <c r="Y430" i="1"/>
  <c r="Z430" i="1" s="1"/>
  <c r="Y432" i="1"/>
  <c r="Z432" i="1" s="1"/>
  <c r="Y435" i="1"/>
  <c r="Z435" i="1" s="1"/>
  <c r="Y440" i="1"/>
  <c r="Z440" i="1" s="1"/>
  <c r="Y444" i="1"/>
  <c r="Z444" i="1" s="1"/>
  <c r="Y447" i="1"/>
  <c r="Z447" i="1" s="1"/>
  <c r="Y451" i="1"/>
  <c r="Z451" i="1" s="1"/>
  <c r="Y456" i="1"/>
  <c r="Z456" i="1" s="1"/>
  <c r="Y460" i="1"/>
  <c r="Z460" i="1" s="1"/>
  <c r="Y464" i="1"/>
  <c r="Z464" i="1" s="1"/>
  <c r="Y467" i="1"/>
  <c r="Z467" i="1" s="1"/>
  <c r="Y474" i="1"/>
  <c r="Z474" i="1" s="1"/>
  <c r="Y477" i="1"/>
  <c r="Z477" i="1" s="1"/>
  <c r="Y482" i="1"/>
  <c r="Z482" i="1" s="1"/>
  <c r="Y486" i="1"/>
  <c r="Z486" i="1" s="1"/>
  <c r="Y492" i="1"/>
  <c r="Z492" i="1" s="1"/>
  <c r="Y496" i="1"/>
  <c r="Z496" i="1" s="1"/>
  <c r="Y500" i="1"/>
  <c r="Z500" i="1" s="1"/>
  <c r="Y504" i="1"/>
  <c r="Z504" i="1" s="1"/>
  <c r="Y510" i="1"/>
  <c r="Z510" i="1" s="1"/>
  <c r="Y514" i="1"/>
  <c r="Z514" i="1" s="1"/>
  <c r="Y519" i="1"/>
  <c r="Z519" i="1" s="1"/>
  <c r="Y523" i="1"/>
  <c r="Z523" i="1" s="1"/>
  <c r="Y532" i="1"/>
  <c r="Z532" i="1" s="1"/>
  <c r="Y537" i="1"/>
  <c r="Z537" i="1" s="1"/>
  <c r="Y543" i="1"/>
  <c r="Z543" i="1" s="1"/>
  <c r="Y546" i="1"/>
  <c r="Z546" i="1" s="1"/>
  <c r="Y554" i="1"/>
  <c r="Z554" i="1" s="1"/>
  <c r="Y561" i="1"/>
  <c r="Z561" i="1" s="1"/>
  <c r="Y566" i="1"/>
  <c r="Z566" i="1" s="1"/>
  <c r="Y569" i="1"/>
  <c r="Z569" i="1" s="1"/>
  <c r="Y574" i="1"/>
  <c r="Z574" i="1" s="1"/>
  <c r="Y578" i="1"/>
  <c r="Z578" i="1" s="1"/>
  <c r="Y582" i="1"/>
  <c r="Z582" i="1" s="1"/>
  <c r="Y585" i="1"/>
  <c r="Z585" i="1" s="1"/>
  <c r="Y590" i="1"/>
  <c r="Z590" i="1" s="1"/>
  <c r="Y593" i="1"/>
  <c r="Z593" i="1" s="1"/>
  <c r="Y596" i="1"/>
  <c r="Z596" i="1" s="1"/>
  <c r="Y599" i="1"/>
  <c r="Z599" i="1" s="1"/>
  <c r="Y602" i="1"/>
  <c r="Z602" i="1" s="1"/>
  <c r="Y605" i="1"/>
  <c r="Z605" i="1" s="1"/>
  <c r="Y608" i="1"/>
  <c r="Z608" i="1" s="1"/>
  <c r="Y611" i="1"/>
  <c r="Z611" i="1" s="1"/>
  <c r="Y613" i="1"/>
  <c r="Z613" i="1" s="1"/>
  <c r="Y616" i="1"/>
  <c r="Z616" i="1" s="1"/>
  <c r="Y621" i="1"/>
  <c r="Z621" i="1" s="1"/>
  <c r="Y625" i="1"/>
  <c r="Z625" i="1" s="1"/>
  <c r="Y630" i="1"/>
  <c r="Z630" i="1" s="1"/>
  <c r="Y632" i="1"/>
  <c r="Z632" i="1" s="1"/>
  <c r="Y635" i="1"/>
  <c r="Z635" i="1" s="1"/>
  <c r="Y638" i="1"/>
  <c r="Z638" i="1" s="1"/>
  <c r="Y641" i="1"/>
  <c r="Z641" i="1" s="1"/>
  <c r="Y644" i="1"/>
  <c r="Z644" i="1" s="1"/>
  <c r="Y648" i="1"/>
  <c r="Z648" i="1" s="1"/>
  <c r="Y651" i="1"/>
  <c r="Z651" i="1" s="1"/>
  <c r="Y654" i="1"/>
  <c r="Z654" i="1" s="1"/>
  <c r="Y657" i="1"/>
  <c r="Z657" i="1" s="1"/>
  <c r="Y660" i="1"/>
  <c r="Z660" i="1" s="1"/>
  <c r="Y662" i="1"/>
  <c r="Z662" i="1" s="1"/>
  <c r="Y665" i="1"/>
  <c r="Z665" i="1" s="1"/>
  <c r="Y667" i="1"/>
  <c r="Z667" i="1" s="1"/>
  <c r="Y670" i="1"/>
  <c r="Z670" i="1" s="1"/>
  <c r="Y675" i="1"/>
  <c r="Z675" i="1" s="1"/>
  <c r="Y678" i="1"/>
  <c r="Z678" i="1" s="1"/>
  <c r="Y682" i="1"/>
  <c r="Z682" i="1" s="1"/>
  <c r="Y686" i="1"/>
  <c r="Z686" i="1" s="1"/>
  <c r="Y690" i="1"/>
  <c r="Z690" i="1" s="1"/>
  <c r="Y693" i="1"/>
  <c r="Z693" i="1" s="1"/>
  <c r="Y697" i="1"/>
  <c r="Z697" i="1" s="1"/>
  <c r="Y699" i="1"/>
  <c r="Z699" i="1" s="1"/>
  <c r="Y703" i="1"/>
  <c r="Z703" i="1" s="1"/>
  <c r="Y706" i="1"/>
  <c r="Z706" i="1" s="1"/>
  <c r="Y708" i="1"/>
  <c r="Z708" i="1" s="1"/>
  <c r="Y711" i="1"/>
  <c r="Z711" i="1" s="1"/>
  <c r="Y714" i="1"/>
  <c r="Z714" i="1" s="1"/>
  <c r="Y717" i="1"/>
  <c r="Z717" i="1" s="1"/>
  <c r="Y720" i="1"/>
  <c r="Z720" i="1" s="1"/>
  <c r="Y723" i="1"/>
  <c r="Z723" i="1" s="1"/>
  <c r="Y730" i="1"/>
  <c r="Z730" i="1" s="1"/>
  <c r="Y735" i="1"/>
  <c r="Z735" i="1" s="1"/>
  <c r="Y741" i="1"/>
  <c r="Z741" i="1" s="1"/>
  <c r="Y745" i="1"/>
  <c r="Z745" i="1" s="1"/>
  <c r="Y748" i="1"/>
  <c r="Z748" i="1" s="1"/>
  <c r="Y753" i="1"/>
  <c r="Z753" i="1" s="1"/>
  <c r="Y759" i="1"/>
  <c r="Z759" i="1" s="1"/>
  <c r="Y764" i="1"/>
  <c r="Z764" i="1" s="1"/>
  <c r="Y768" i="1"/>
  <c r="Z768" i="1" s="1"/>
  <c r="Y772" i="1"/>
  <c r="Z772" i="1" s="1"/>
  <c r="Y777" i="1"/>
  <c r="Z777" i="1" s="1"/>
  <c r="Y782" i="1"/>
  <c r="Z782" i="1" s="1"/>
  <c r="Y12" i="1"/>
  <c r="Z12" i="1" s="1"/>
  <c r="Y5" i="1"/>
  <c r="Z5" i="1" s="1"/>
  <c r="Y363" i="1"/>
  <c r="Z363" i="1" s="1"/>
  <c r="Y381" i="1"/>
  <c r="Z381" i="1" s="1"/>
  <c r="Y385" i="1"/>
  <c r="Z385" i="1" s="1"/>
  <c r="Y388" i="1"/>
  <c r="Z388" i="1" s="1"/>
  <c r="Y392" i="1"/>
  <c r="Z392" i="1" s="1"/>
  <c r="Y397" i="1"/>
  <c r="Z397" i="1" s="1"/>
  <c r="Y400" i="1"/>
  <c r="Z400" i="1" s="1"/>
  <c r="Y403" i="1"/>
  <c r="Z403" i="1" s="1"/>
  <c r="Y406" i="1"/>
  <c r="Z406" i="1" s="1"/>
  <c r="Y407" i="1"/>
  <c r="Z407" i="1" s="1"/>
  <c r="Y415" i="1"/>
  <c r="Z415" i="1" s="1"/>
  <c r="Y419" i="1"/>
  <c r="Z419" i="1" s="1"/>
  <c r="Y424" i="1"/>
  <c r="Z424" i="1" s="1"/>
  <c r="Y429" i="1"/>
  <c r="Z429" i="1" s="1"/>
  <c r="Y431" i="1"/>
  <c r="Z431" i="1" s="1"/>
  <c r="Y438" i="1"/>
  <c r="Z438" i="1" s="1"/>
  <c r="Y443" i="1"/>
  <c r="Z443" i="1" s="1"/>
  <c r="Y452" i="1"/>
  <c r="Z452" i="1" s="1"/>
  <c r="Y457" i="1"/>
  <c r="Z457" i="1" s="1"/>
  <c r="Y461" i="1"/>
  <c r="Z461" i="1" s="1"/>
  <c r="Y466" i="1"/>
  <c r="Z466" i="1" s="1"/>
  <c r="Y470" i="1"/>
  <c r="Z470" i="1" s="1"/>
  <c r="Y476" i="1"/>
  <c r="Z476" i="1" s="1"/>
  <c r="Y481" i="1"/>
  <c r="Z481" i="1" s="1"/>
  <c r="Y484" i="1"/>
  <c r="Z484" i="1" s="1"/>
  <c r="Y487" i="1"/>
  <c r="Z487" i="1" s="1"/>
  <c r="Y490" i="1"/>
  <c r="Z490" i="1" s="1"/>
  <c r="Y494" i="1"/>
  <c r="Z494" i="1" s="1"/>
  <c r="Y497" i="1"/>
  <c r="Z497" i="1" s="1"/>
  <c r="Y501" i="1"/>
  <c r="Z501" i="1" s="1"/>
  <c r="Y503" i="1"/>
  <c r="Z503" i="1" s="1"/>
  <c r="Y507" i="1"/>
  <c r="Z507" i="1" s="1"/>
  <c r="Y513" i="1"/>
  <c r="Z513" i="1" s="1"/>
  <c r="Y517" i="1"/>
  <c r="Z517" i="1" s="1"/>
  <c r="Y520" i="1"/>
  <c r="Z520" i="1" s="1"/>
  <c r="Y524" i="1"/>
  <c r="Z524" i="1" s="1"/>
  <c r="Y527" i="1"/>
  <c r="Z527" i="1" s="1"/>
  <c r="Y530" i="1"/>
  <c r="Z530" i="1" s="1"/>
  <c r="Y534" i="1"/>
  <c r="Z534" i="1" s="1"/>
  <c r="Y536" i="1"/>
  <c r="Z536" i="1" s="1"/>
  <c r="Y540" i="1"/>
  <c r="Z540" i="1" s="1"/>
  <c r="Y548" i="1"/>
  <c r="Z548" i="1" s="1"/>
  <c r="Y556" i="1"/>
  <c r="Z556" i="1" s="1"/>
  <c r="Y560" i="1"/>
  <c r="Z560" i="1" s="1"/>
  <c r="Y565" i="1"/>
  <c r="Z565" i="1" s="1"/>
  <c r="Y572" i="1"/>
  <c r="Z572" i="1" s="1"/>
  <c r="Y575" i="1"/>
  <c r="Z575" i="1" s="1"/>
  <c r="Y580" i="1"/>
  <c r="Z580" i="1" s="1"/>
  <c r="Y584" i="1"/>
  <c r="Z584" i="1" s="1"/>
  <c r="Y680" i="1"/>
  <c r="Z680" i="1" s="1"/>
  <c r="Y685" i="1"/>
  <c r="Z685" i="1" s="1"/>
  <c r="Y687" i="1"/>
  <c r="Z687" i="1" s="1"/>
  <c r="Y689" i="1"/>
  <c r="Z689" i="1" s="1"/>
  <c r="Y692" i="1"/>
  <c r="Z692" i="1" s="1"/>
  <c r="Y695" i="1"/>
  <c r="Z695" i="1" s="1"/>
  <c r="Y696" i="1"/>
  <c r="Z696" i="1" s="1"/>
  <c r="Y701" i="1"/>
  <c r="Z701" i="1" s="1"/>
  <c r="Y704" i="1"/>
  <c r="Z704" i="1" s="1"/>
  <c r="Y707" i="1"/>
  <c r="Z707" i="1" s="1"/>
  <c r="Y710" i="1"/>
  <c r="Z710" i="1" s="1"/>
  <c r="Y713" i="1"/>
  <c r="Z713" i="1" s="1"/>
  <c r="Y715" i="1"/>
  <c r="Z715" i="1" s="1"/>
  <c r="Y718" i="1"/>
  <c r="Z718" i="1" s="1"/>
  <c r="Y724" i="1"/>
  <c r="Z724" i="1" s="1"/>
  <c r="Y727" i="1"/>
  <c r="Z727" i="1" s="1"/>
  <c r="Y731" i="1"/>
  <c r="Z731" i="1" s="1"/>
  <c r="Y734" i="1"/>
  <c r="Z734" i="1" s="1"/>
  <c r="Y738" i="1"/>
  <c r="Z738" i="1" s="1"/>
  <c r="Y740" i="1"/>
  <c r="Z740" i="1" s="1"/>
  <c r="Y744" i="1"/>
  <c r="Z744" i="1" s="1"/>
  <c r="Y747" i="1"/>
  <c r="Z747" i="1" s="1"/>
  <c r="Y750" i="1"/>
  <c r="Z750" i="1" s="1"/>
  <c r="Y754" i="1"/>
  <c r="Z754" i="1" s="1"/>
  <c r="Y757" i="1"/>
  <c r="Z757" i="1" s="1"/>
  <c r="Y761" i="1"/>
  <c r="Z761" i="1" s="1"/>
  <c r="Y765" i="1"/>
  <c r="Z765" i="1" s="1"/>
  <c r="Y771" i="1"/>
  <c r="Z771" i="1" s="1"/>
  <c r="Y776" i="1"/>
  <c r="Z776" i="1" s="1"/>
  <c r="Y779" i="1"/>
  <c r="Z779" i="1" s="1"/>
  <c r="Y783" i="1"/>
  <c r="Z783" i="1" s="1"/>
  <c r="Y4" i="1"/>
  <c r="Z4" i="1" s="1"/>
  <c r="Y293" i="1"/>
  <c r="Z293" i="1" s="1"/>
  <c r="Y317" i="1"/>
  <c r="Z317" i="1" s="1"/>
  <c r="Y325" i="1"/>
  <c r="Z325" i="1" s="1"/>
  <c r="Y327" i="1"/>
  <c r="Z327" i="1" s="1"/>
  <c r="Y329" i="1"/>
  <c r="Z329" i="1" s="1"/>
  <c r="Y333" i="1"/>
  <c r="Z333" i="1" s="1"/>
  <c r="Y335" i="1"/>
  <c r="Z335" i="1" s="1"/>
  <c r="Y338" i="1"/>
  <c r="Z338" i="1" s="1"/>
  <c r="Y353" i="1"/>
  <c r="Z353" i="1" s="1"/>
  <c r="Y359" i="1"/>
  <c r="Z359" i="1" s="1"/>
  <c r="Y362" i="1"/>
  <c r="Z362" i="1" s="1"/>
  <c r="Y366" i="1"/>
  <c r="Z366" i="1" s="1"/>
  <c r="Y369" i="1"/>
  <c r="Z369" i="1" s="1"/>
  <c r="Y372" i="1"/>
  <c r="Z372" i="1" s="1"/>
  <c r="Y375" i="1"/>
  <c r="Z375" i="1" s="1"/>
  <c r="Y384" i="1"/>
  <c r="Z384" i="1" s="1"/>
  <c r="Y387" i="1"/>
  <c r="Z387" i="1" s="1"/>
  <c r="Y389" i="1"/>
  <c r="Z389" i="1" s="1"/>
  <c r="Y393" i="1"/>
  <c r="Z393" i="1" s="1"/>
  <c r="Y396" i="1"/>
  <c r="Z396" i="1" s="1"/>
  <c r="Y399" i="1"/>
  <c r="Z399" i="1" s="1"/>
  <c r="Y405" i="1"/>
  <c r="Z405" i="1" s="1"/>
  <c r="Y410" i="1"/>
  <c r="Z410" i="1" s="1"/>
  <c r="Y413" i="1"/>
  <c r="Z413" i="1" s="1"/>
  <c r="Y420" i="1"/>
  <c r="Z420" i="1" s="1"/>
  <c r="Y425" i="1"/>
  <c r="Z425" i="1" s="1"/>
  <c r="Y436" i="1"/>
  <c r="Z436" i="1" s="1"/>
  <c r="Y439" i="1"/>
  <c r="Z439" i="1" s="1"/>
  <c r="Y449" i="1"/>
  <c r="Z449" i="1" s="1"/>
  <c r="Y454" i="1"/>
  <c r="Z454" i="1" s="1"/>
  <c r="Y455" i="1"/>
  <c r="Z455" i="1" s="1"/>
  <c r="Y459" i="1"/>
  <c r="Z459" i="1" s="1"/>
  <c r="Y462" i="1"/>
  <c r="Z462" i="1" s="1"/>
  <c r="Y465" i="1"/>
  <c r="Z465" i="1" s="1"/>
  <c r="Y469" i="1"/>
  <c r="Z469" i="1" s="1"/>
  <c r="Y472" i="1"/>
  <c r="Z472" i="1" s="1"/>
  <c r="Y475" i="1"/>
  <c r="Z475" i="1" s="1"/>
  <c r="Y478" i="1"/>
  <c r="Z478" i="1" s="1"/>
  <c r="Y483" i="1"/>
  <c r="Z483" i="1" s="1"/>
  <c r="Y489" i="1"/>
  <c r="Z489" i="1" s="1"/>
  <c r="Y493" i="1"/>
  <c r="Z493" i="1" s="1"/>
  <c r="Y498" i="1"/>
  <c r="Z498" i="1" s="1"/>
  <c r="Y502" i="1"/>
  <c r="Z502" i="1" s="1"/>
  <c r="Y506" i="1"/>
  <c r="Z506" i="1" s="1"/>
  <c r="Y509" i="1"/>
  <c r="Z509" i="1" s="1"/>
  <c r="Y511" i="1"/>
  <c r="Z511" i="1" s="1"/>
  <c r="Y515" i="1"/>
  <c r="Z515" i="1" s="1"/>
  <c r="Y518" i="1"/>
  <c r="Z518" i="1" s="1"/>
  <c r="Y522" i="1"/>
  <c r="Z522" i="1" s="1"/>
  <c r="Y525" i="1"/>
  <c r="Z525" i="1" s="1"/>
  <c r="Y528" i="1"/>
  <c r="Z528" i="1" s="1"/>
  <c r="Y531" i="1"/>
  <c r="Z531" i="1" s="1"/>
  <c r="Y533" i="1"/>
  <c r="Z533" i="1" s="1"/>
  <c r="Y535" i="1"/>
  <c r="Z535" i="1" s="1"/>
  <c r="Y541" i="1"/>
  <c r="Z541" i="1" s="1"/>
  <c r="Y544" i="1"/>
  <c r="Z544" i="1" s="1"/>
  <c r="Y547" i="1"/>
  <c r="Z547" i="1" s="1"/>
  <c r="Y550" i="1"/>
  <c r="Z550" i="1" s="1"/>
  <c r="Y553" i="1"/>
  <c r="Z553" i="1" s="1"/>
  <c r="Y557" i="1"/>
  <c r="Z557" i="1" s="1"/>
  <c r="Y559" i="1"/>
  <c r="Z559" i="1" s="1"/>
  <c r="Y564" i="1"/>
  <c r="Z564" i="1" s="1"/>
  <c r="Y571" i="1"/>
  <c r="Z571" i="1" s="1"/>
  <c r="Y577" i="1"/>
  <c r="Z577" i="1" s="1"/>
  <c r="Y583" i="1"/>
  <c r="Z583" i="1" s="1"/>
  <c r="Y589" i="1"/>
  <c r="Z589" i="1" s="1"/>
  <c r="Y618" i="1"/>
  <c r="Z618" i="1" s="1"/>
  <c r="Y628" i="1"/>
  <c r="Z628" i="1" s="1"/>
  <c r="Y634" i="1"/>
  <c r="Z634" i="1" s="1"/>
  <c r="Y640" i="1"/>
  <c r="Z640" i="1" s="1"/>
  <c r="Y643" i="1"/>
  <c r="Z643" i="1" s="1"/>
  <c r="Y646" i="1"/>
  <c r="Z646" i="1" s="1"/>
  <c r="Y649" i="1"/>
  <c r="Z649" i="1" s="1"/>
  <c r="Y652" i="1"/>
  <c r="Z652" i="1" s="1"/>
  <c r="Y655" i="1"/>
  <c r="Z655" i="1" s="1"/>
  <c r="Y658" i="1"/>
  <c r="Z658" i="1" s="1"/>
  <c r="Y661" i="1"/>
  <c r="Z661" i="1" s="1"/>
  <c r="Y663" i="1"/>
  <c r="Z663" i="1" s="1"/>
  <c r="Y668" i="1"/>
  <c r="Z668" i="1" s="1"/>
  <c r="Y671" i="1"/>
  <c r="Z671" i="1" s="1"/>
  <c r="Y673" i="1"/>
  <c r="Z673" i="1" s="1"/>
  <c r="Y676" i="1"/>
  <c r="Z676" i="1" s="1"/>
  <c r="Y679" i="1"/>
  <c r="Z679" i="1" s="1"/>
  <c r="Y681" i="1"/>
  <c r="Z681" i="1" s="1"/>
  <c r="Y683" i="1"/>
  <c r="Z683" i="1" s="1"/>
  <c r="Y721" i="1"/>
  <c r="Z721" i="1" s="1"/>
  <c r="Y725" i="1"/>
  <c r="Z725" i="1" s="1"/>
  <c r="Y728" i="1"/>
  <c r="Z728" i="1" s="1"/>
  <c r="Y732" i="1"/>
  <c r="Z732" i="1" s="1"/>
  <c r="Y736" i="1"/>
  <c r="Z736" i="1" s="1"/>
  <c r="Y739" i="1"/>
  <c r="Z739" i="1" s="1"/>
  <c r="Y743" i="1"/>
  <c r="Z743" i="1" s="1"/>
  <c r="Y751" i="1"/>
  <c r="Z751" i="1" s="1"/>
  <c r="Y755" i="1"/>
  <c r="Z755" i="1" s="1"/>
  <c r="Y758" i="1"/>
  <c r="Z758" i="1" s="1"/>
  <c r="Y762" i="1"/>
  <c r="Z762" i="1" s="1"/>
  <c r="Y766" i="1"/>
  <c r="Z766" i="1" s="1"/>
  <c r="Y769" i="1"/>
  <c r="Z769" i="1" s="1"/>
  <c r="Y773" i="1"/>
  <c r="Z773" i="1" s="1"/>
  <c r="Y775" i="1"/>
  <c r="Z775" i="1" s="1"/>
  <c r="Y780" i="1"/>
  <c r="Z780" i="1" s="1"/>
  <c r="Y6" i="1"/>
  <c r="Z6" i="1" s="1"/>
  <c r="Y7" i="1"/>
  <c r="Z7" i="1" s="1"/>
  <c r="Y8" i="1"/>
  <c r="Z8" i="1" s="1"/>
</calcChain>
</file>

<file path=xl/sharedStrings.xml><?xml version="1.0" encoding="utf-8"?>
<sst xmlns="http://schemas.openxmlformats.org/spreadsheetml/2006/main" count="13720" uniqueCount="2798">
  <si>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</si>
  <si>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</si>
  <si>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</si>
  <si>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</si>
  <si>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</si>
  <si>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</si>
  <si>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</si>
  <si>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</si>
  <si>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</si>
  <si>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</si>
  <si>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</si>
  <si>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</si>
  <si>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</si>
  <si>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</si>
  <si>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</si>
  <si>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</si>
  <si>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</si>
  <si>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</si>
  <si>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</si>
  <si>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</si>
  <si>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</si>
  <si>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</si>
  <si>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</si>
  <si>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</si>
  <si>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</si>
  <si>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</si>
  <si>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</si>
  <si>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</si>
  <si>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</si>
  <si>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</si>
  <si>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</si>
  <si>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</si>
  <si>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</si>
  <si>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</si>
  <si>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</si>
  <si>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</si>
  <si>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</si>
  <si>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</si>
  <si>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</si>
  <si>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</si>
  <si>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</si>
  <si>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</si>
  <si>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</si>
  <si>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</si>
  <si>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</si>
  <si>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</si>
  <si>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</si>
  <si>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</si>
  <si>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</si>
  <si>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</si>
  <si>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</si>
  <si>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</si>
  <si>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</si>
  <si>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</si>
  <si>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</si>
  <si>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</si>
  <si>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</si>
  <si>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</si>
  <si>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</si>
  <si>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</si>
  <si>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</si>
  <si>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</si>
  <si>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</si>
  <si>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</si>
  <si>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</si>
  <si>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</si>
  <si>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</si>
  <si>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</si>
  <si>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</si>
  <si>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</si>
  <si>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</si>
  <si>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</si>
  <si>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</si>
  <si>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</si>
  <si>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</si>
  <si>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</si>
  <si>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</si>
  <si>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</si>
  <si>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</si>
  <si>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</si>
  <si>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</si>
  <si>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</si>
  <si>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</si>
  <si>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</si>
  <si>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</si>
  <si>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</si>
  <si>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</si>
  <si>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</si>
  <si>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</si>
  <si>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</si>
  <si>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</si>
  <si>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</si>
  <si>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</si>
  <si>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</si>
  <si>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</si>
  <si>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</si>
  <si>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</si>
  <si>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</si>
  <si>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</si>
  <si>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</si>
  <si>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</si>
  <si>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</si>
  <si>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</si>
  <si>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</si>
  <si>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</si>
  <si>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</si>
  <si>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</si>
  <si>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</si>
  <si>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</si>
  <si>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</si>
  <si>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</si>
  <si>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</si>
  <si>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</si>
  <si>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</si>
  <si>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</si>
  <si>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</si>
  <si>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</si>
  <si>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</si>
  <si>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</si>
  <si>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</si>
  <si>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</si>
  <si>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</si>
  <si>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</si>
  <si>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</si>
  <si>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</si>
  <si>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</si>
  <si>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</si>
  <si>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</si>
  <si>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</si>
  <si>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</si>
  <si>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</si>
  <si>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</si>
  <si>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</si>
  <si>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</si>
  <si>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</si>
  <si>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</si>
  <si>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</si>
  <si>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</si>
  <si>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</si>
  <si>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</si>
  <si>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</si>
  <si>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</si>
  <si>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</si>
  <si>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</si>
  <si>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</si>
  <si>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</si>
  <si>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</si>
  <si>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</si>
  <si>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</si>
  <si>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</si>
  <si>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</si>
  <si>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</si>
  <si>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</si>
  <si>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</si>
  <si>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</si>
  <si>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</si>
  <si>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</si>
  <si>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</si>
  <si>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</si>
  <si>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</si>
  <si>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</si>
  <si>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</si>
  <si>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</si>
  <si>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</si>
  <si>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</si>
  <si>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</si>
  <si>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</si>
  <si>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</si>
  <si>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</si>
  <si>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</si>
  <si>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</si>
  <si>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</si>
  <si>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</si>
  <si>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</si>
  <si>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</si>
  <si>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</si>
  <si>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</si>
  <si>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</si>
  <si>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</si>
  <si>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</si>
  <si>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</si>
  <si>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</si>
  <si>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</si>
  <si>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</si>
  <si>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</si>
  <si>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</si>
  <si>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</si>
  <si>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</si>
  <si>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</si>
  <si>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</si>
  <si>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</si>
  <si>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</si>
  <si>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</si>
  <si>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</si>
  <si>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</si>
  <si>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</si>
  <si>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</si>
  <si>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</si>
  <si>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</si>
  <si>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</si>
  <si>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</si>
  <si>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</si>
  <si>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</si>
  <si>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</si>
  <si>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</si>
  <si>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</si>
  <si>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</si>
  <si>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</si>
  <si>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</si>
  <si>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</si>
  <si>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</si>
  <si>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</si>
  <si>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</si>
  <si>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</si>
  <si>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</si>
  <si>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</si>
  <si>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</si>
  <si>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</si>
  <si>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</si>
  <si>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</si>
  <si>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</si>
  <si>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</si>
  <si>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</si>
  <si>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</si>
  <si>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</si>
  <si>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</si>
  <si>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</si>
  <si>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</si>
  <si>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</si>
  <si>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</si>
  <si>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</si>
  <si>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</si>
  <si>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</si>
  <si>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</si>
  <si>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</si>
  <si>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</si>
  <si>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</si>
  <si>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</si>
  <si>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</si>
  <si>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</si>
  <si>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</si>
  <si>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</si>
  <si>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</si>
  <si>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</si>
  <si>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</si>
  <si>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</si>
  <si>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</si>
  <si>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</si>
  <si>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</si>
  <si>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</si>
  <si>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</si>
  <si>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</si>
  <si>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</si>
  <si>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</si>
  <si>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</si>
  <si>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</si>
  <si>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</si>
  <si>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</si>
  <si>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</si>
  <si>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</si>
  <si>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</si>
  <si>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</si>
  <si>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</si>
  <si>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</si>
  <si>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</si>
  <si>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</si>
  <si>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</si>
  <si>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</si>
  <si>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</si>
  <si>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</si>
  <si>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</si>
  <si>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</si>
  <si>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</si>
  <si>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</si>
  <si>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</si>
  <si>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</si>
  <si>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</si>
  <si>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</si>
  <si>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</si>
  <si>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</si>
  <si>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</si>
  <si>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</si>
  <si>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</si>
  <si>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</si>
  <si>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</si>
  <si>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</si>
  <si>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</si>
  <si>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</si>
  <si>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</si>
  <si>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</si>
  <si>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</si>
  <si>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</si>
  <si>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</si>
  <si>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</si>
  <si>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</si>
  <si>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</si>
  <si>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</si>
  <si>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</si>
  <si>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</si>
  <si>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</si>
  <si>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</si>
  <si>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</si>
  <si>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</si>
  <si>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</si>
  <si>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</si>
  <si>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</si>
  <si>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</si>
  <si>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</si>
  <si>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</si>
  <si>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</si>
  <si>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</si>
  <si>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</si>
  <si>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</si>
  <si>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</si>
  <si>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</si>
  <si>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</si>
  <si>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</si>
  <si>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</si>
  <si>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</si>
  <si>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</si>
  <si>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</si>
  <si>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</si>
  <si>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</si>
  <si>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</si>
  <si>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</si>
  <si>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</si>
  <si>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</si>
  <si>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</si>
  <si>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</si>
  <si>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</si>
  <si>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</si>
  <si>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</si>
  <si>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</si>
  <si>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</si>
  <si>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</si>
  <si>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</si>
  <si>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</si>
  <si>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</si>
  <si>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</si>
  <si>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</si>
  <si>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</si>
  <si>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</si>
  <si>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</si>
  <si>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</si>
  <si>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</si>
  <si>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</si>
  <si>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</si>
  <si>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</si>
  <si>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</si>
  <si>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</si>
  <si>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</si>
  <si>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</si>
  <si>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</si>
  <si>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</si>
  <si>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</si>
  <si>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</si>
  <si>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</si>
  <si>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</si>
  <si>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</si>
  <si>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</si>
  <si>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</si>
  <si>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</si>
  <si>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</si>
  <si>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</si>
  <si>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</si>
  <si>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</si>
  <si>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</si>
  <si>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</si>
  <si>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</si>
  <si>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</si>
  <si>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</si>
  <si>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</si>
  <si>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</si>
  <si>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</si>
  <si>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</si>
  <si>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</si>
  <si>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</si>
  <si>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</si>
  <si>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</si>
  <si>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</si>
  <si>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</si>
  <si>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</si>
  <si>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</si>
  <si>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</si>
  <si>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</si>
  <si>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</si>
  <si>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</si>
  <si>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</si>
  <si>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</si>
  <si>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</si>
  <si>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</si>
  <si>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</si>
  <si>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</si>
  <si>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</si>
  <si>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</si>
  <si>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</si>
  <si>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</si>
  <si>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</si>
  <si>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</si>
  <si>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</si>
  <si>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</si>
  <si>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</si>
  <si>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</si>
  <si>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</si>
  <si>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</si>
  <si>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</si>
  <si>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</si>
  <si>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</si>
  <si>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</si>
  <si>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</si>
  <si>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</si>
  <si>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</si>
  <si>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</si>
  <si>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</si>
  <si>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</si>
  <si>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</si>
  <si>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</si>
  <si>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</si>
  <si>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</si>
  <si>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</si>
  <si>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</si>
  <si>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</si>
  <si>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</si>
  <si>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</si>
  <si>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</si>
  <si>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</si>
  <si>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</si>
  <si>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</si>
  <si>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</si>
  <si>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</si>
  <si>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</si>
  <si>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</si>
  <si>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</si>
  <si>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</si>
  <si>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</si>
  <si>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</si>
  <si>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</si>
  <si>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</si>
  <si>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</si>
  <si>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</si>
  <si>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</si>
  <si>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</si>
  <si>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</si>
  <si>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</si>
  <si>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</si>
  <si>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</si>
  <si>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</si>
  <si>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</si>
  <si>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</si>
  <si>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</si>
  <si>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</si>
  <si>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</si>
  <si>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</si>
  <si>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</si>
  <si>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</si>
  <si>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</si>
  <si>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</si>
  <si>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</si>
  <si>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</si>
  <si>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</si>
  <si>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</si>
  <si>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</si>
  <si>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</si>
  <si>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</si>
  <si>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</si>
  <si>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</si>
  <si>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</si>
  <si>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</si>
  <si>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</si>
  <si>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</si>
  <si>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</si>
  <si>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</si>
  <si>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</si>
  <si>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</si>
  <si>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</si>
  <si>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</si>
  <si>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</si>
  <si>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</si>
  <si>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</si>
  <si>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</si>
  <si>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</si>
  <si>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</si>
  <si>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</si>
  <si>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</si>
  <si>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</si>
  <si>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</si>
  <si>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</si>
  <si>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</si>
  <si>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</si>
  <si>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</si>
  <si>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</si>
  <si>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</si>
  <si>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</si>
  <si>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</si>
  <si>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</si>
  <si>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</si>
  <si>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</si>
  <si>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</si>
  <si>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</si>
  <si>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</si>
  <si>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</si>
  <si>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</si>
  <si>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</si>
  <si>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</si>
  <si>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</si>
  <si>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</si>
  <si>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</si>
  <si>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</si>
  <si>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</si>
  <si>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</si>
  <si>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</si>
  <si>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</si>
  <si>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</si>
  <si>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</si>
  <si>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</si>
  <si>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</si>
  <si>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</si>
  <si>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</si>
  <si>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</si>
  <si>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</si>
  <si>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</si>
  <si>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</si>
  <si>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</si>
  <si>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</si>
  <si>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</si>
  <si>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</si>
  <si>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</si>
  <si>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</si>
  <si>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</si>
  <si>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</si>
  <si>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</si>
  <si>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</si>
  <si>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</si>
  <si>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</si>
  <si>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</si>
  <si>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</si>
  <si>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</si>
  <si>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</si>
  <si>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</si>
  <si>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</si>
  <si>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</si>
  <si>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</si>
  <si>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</si>
  <si>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</si>
  <si>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</si>
  <si>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</si>
  <si>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</si>
  <si>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</si>
  <si>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</si>
  <si>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</si>
  <si>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</si>
  <si>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</si>
  <si>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</si>
  <si>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</si>
  <si>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</si>
  <si>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</si>
  <si>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</si>
  <si>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</si>
  <si>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</si>
  <si>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</si>
  <si>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</si>
  <si>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</si>
  <si>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</si>
  <si>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</si>
  <si>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</si>
  <si>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</si>
  <si>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</si>
  <si>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</si>
  <si>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</si>
  <si>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</si>
  <si>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</si>
  <si>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</si>
  <si>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</si>
  <si>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</si>
  <si>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</si>
  <si>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</si>
  <si>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</si>
  <si>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</si>
  <si>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</si>
  <si>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</si>
  <si>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</si>
  <si>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</si>
  <si>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</si>
  <si>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</si>
  <si>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</si>
  <si>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</si>
  <si>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</si>
  <si>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</si>
  <si>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</si>
  <si>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</si>
  <si>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</si>
  <si>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</si>
  <si>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</si>
  <si>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</si>
  <si>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</si>
  <si>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</si>
  <si>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</si>
  <si>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</si>
  <si>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</si>
  <si>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</si>
  <si>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</si>
  <si>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</si>
  <si>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</si>
  <si>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</si>
  <si>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</si>
  <si>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</si>
  <si>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</si>
  <si>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</si>
  <si>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</si>
  <si>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</si>
  <si>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</si>
  <si>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</si>
  <si>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</si>
  <si>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</si>
  <si>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</si>
  <si>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</si>
  <si>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</si>
  <si>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</si>
  <si>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</si>
  <si>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</si>
  <si>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</si>
  <si>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</si>
  <si>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</si>
  <si>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</si>
  <si>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</si>
  <si>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</si>
  <si>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</si>
  <si>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</si>
  <si>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</si>
  <si>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</si>
  <si>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</si>
  <si>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</si>
  <si>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</si>
  <si>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</si>
  <si>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</si>
  <si>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</si>
  <si>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</si>
  <si>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</si>
  <si>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</si>
  <si>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</si>
  <si>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</si>
  <si>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</si>
  <si>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</si>
  <si>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</si>
  <si>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</si>
  <si>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</si>
  <si>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</si>
  <si>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</si>
  <si>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</si>
  <si>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</si>
  <si>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</si>
  <si>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</si>
  <si>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</si>
  <si>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</si>
  <si>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</si>
  <si>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</si>
  <si>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</si>
  <si>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</si>
  <si>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</si>
  <si>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</si>
  <si>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</si>
  <si>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</si>
  <si>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</si>
  <si>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</si>
  <si>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</si>
  <si>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</si>
  <si>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</si>
  <si>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</si>
  <si>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</si>
  <si>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</si>
  <si>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</si>
  <si>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</si>
  <si>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</si>
  <si>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</si>
  <si>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</si>
  <si>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</si>
  <si>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</si>
  <si>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</si>
  <si>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</si>
  <si>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</si>
  <si>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</si>
  <si>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</si>
  <si>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</si>
  <si>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</si>
  <si>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</si>
  <si>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</si>
  <si>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</si>
  <si>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</si>
  <si>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</si>
  <si>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</si>
  <si>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</si>
  <si>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</si>
  <si>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</si>
  <si>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</si>
  <si>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</si>
  <si>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</si>
  <si>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</si>
  <si>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</si>
  <si>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</si>
  <si>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</si>
  <si>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</si>
  <si>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</si>
  <si>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</si>
  <si>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</si>
  <si>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</si>
  <si>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</si>
  <si>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</si>
  <si>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</si>
  <si>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</si>
  <si>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</si>
  <si>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</si>
  <si>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</si>
  <si>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</si>
  <si>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</si>
  <si>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</si>
  <si>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</si>
  <si>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</si>
  <si>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</si>
  <si>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</si>
  <si>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</si>
  <si>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</si>
  <si>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</si>
  <si>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</si>
  <si>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</si>
  <si>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</si>
  <si>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</si>
  <si>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</si>
  <si>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</si>
  <si>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</si>
  <si>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</si>
  <si>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</si>
  <si>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</si>
  <si>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</si>
  <si>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</si>
  <si>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</si>
  <si>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</si>
  <si>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</si>
  <si>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</si>
  <si>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</si>
  <si>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</si>
  <si>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</si>
  <si>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</si>
  <si>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</si>
  <si>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</si>
  <si>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</si>
  <si>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</si>
  <si>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</si>
  <si>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</si>
  <si>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</si>
  <si>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</si>
  <si>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</si>
  <si>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</si>
  <si>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</si>
  <si>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</si>
  <si>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</si>
  <si>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</si>
  <si>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</si>
  <si>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</si>
  <si>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</si>
  <si>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</si>
  <si>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</si>
  <si>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</si>
  <si>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</si>
  <si>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</si>
  <si>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</si>
  <si>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</si>
  <si>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</si>
  <si>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</si>
  <si>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</si>
  <si>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</si>
  <si>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</si>
  <si>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</si>
  <si>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</si>
  <si>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</si>
  <si>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</si>
  <si>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</si>
  <si>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</si>
  <si>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</si>
  <si>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</si>
  <si>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</si>
  <si>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</si>
  <si>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</si>
  <si>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</si>
  <si>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</si>
  <si>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</si>
  <si>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</si>
  <si>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</si>
  <si>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</si>
  <si>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</si>
  <si>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</si>
  <si>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</si>
  <si>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</si>
  <si>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</si>
  <si>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</si>
  <si>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</si>
  <si>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</si>
  <si>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</si>
  <si>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</si>
  <si>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</si>
  <si>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</si>
  <si>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</si>
  <si>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</si>
  <si>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</si>
  <si>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</si>
  <si>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</si>
  <si>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</si>
  <si>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</si>
  <si>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</si>
  <si>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</si>
  <si>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</si>
  <si>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</si>
  <si>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</si>
  <si>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</si>
  <si>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</si>
  <si>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</si>
  <si>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</si>
  <si>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</si>
  <si>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</si>
  <si>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</si>
  <si>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</si>
  <si>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</si>
  <si>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</si>
  <si>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</si>
  <si>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</si>
  <si>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</si>
  <si>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</si>
  <si>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</si>
  <si>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</si>
  <si>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</si>
  <si>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</si>
  <si>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</si>
  <si>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</si>
  <si>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</si>
  <si>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</si>
  <si>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</si>
  <si>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</si>
  <si>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</si>
  <si>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</si>
  <si>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</si>
  <si>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</si>
  <si>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</si>
  <si>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</si>
  <si>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</si>
  <si>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</si>
  <si>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</si>
  <si>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</si>
  <si>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</si>
  <si>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</si>
  <si>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</si>
  <si>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</si>
  <si>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</si>
  <si>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</si>
  <si>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</si>
  <si>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</si>
  <si>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</si>
  <si>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</si>
  <si>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</si>
  <si>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</si>
  <si>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</si>
  <si>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</si>
  <si>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</si>
  <si>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</si>
  <si>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</si>
  <si>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</si>
  <si>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</si>
  <si>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</si>
  <si>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</si>
  <si>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</si>
  <si>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</si>
  <si>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</si>
  <si>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</si>
  <si>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</si>
  <si>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</si>
  <si>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</si>
  <si>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</si>
  <si>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</si>
  <si>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</si>
  <si>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</si>
  <si>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</si>
  <si>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</si>
  <si>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</si>
  <si>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</si>
  <si>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</si>
  <si>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</si>
  <si>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</si>
  <si>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</si>
  <si>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</si>
  <si>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</si>
  <si>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</si>
  <si>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</si>
  <si>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</si>
  <si>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</si>
  <si>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</si>
  <si>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</si>
  <si>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</si>
  <si>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</si>
  <si>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</si>
  <si>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</si>
  <si>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</si>
  <si>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</si>
  <si>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</si>
  <si>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</si>
  <si>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</si>
  <si>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</si>
  <si>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</si>
  <si>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</si>
  <si>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</si>
  <si>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</si>
  <si>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</si>
  <si>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</si>
  <si>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</si>
  <si>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</si>
  <si>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</si>
  <si>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</si>
  <si>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</si>
  <si>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</si>
  <si>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</si>
  <si>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</si>
  <si>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</si>
  <si>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</si>
  <si>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</si>
  <si>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</si>
  <si>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</si>
  <si>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</si>
  <si>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</si>
  <si>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</si>
  <si>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</si>
  <si>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</si>
  <si>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</si>
  <si>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</si>
  <si>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</si>
  <si>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</si>
  <si>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</si>
  <si>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</si>
  <si>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</si>
  <si>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</si>
  <si>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</si>
  <si>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</si>
  <si>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</si>
  <si>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</si>
  <si>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</si>
  <si>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</si>
  <si>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</si>
  <si>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</si>
  <si>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</si>
  <si>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</si>
  <si>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</si>
  <si>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</si>
  <si>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</si>
  <si>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</si>
  <si>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</si>
  <si>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</si>
  <si>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</si>
  <si>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</si>
  <si>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</si>
  <si>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</si>
  <si>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</si>
  <si>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</si>
  <si>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</si>
  <si>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</si>
  <si>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</si>
  <si>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</si>
  <si>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</si>
  <si>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</si>
  <si>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</si>
  <si>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</si>
  <si>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</si>
  <si>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</si>
  <si>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</si>
  <si>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</si>
  <si>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</si>
  <si>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</si>
  <si>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</si>
  <si>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</si>
  <si>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</si>
  <si>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</si>
  <si>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</si>
  <si>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</si>
  <si>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</si>
  <si>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</si>
  <si>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</si>
  <si>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</si>
  <si>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</si>
  <si>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</si>
  <si>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</si>
  <si>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</si>
  <si>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</si>
  <si>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</si>
  <si>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</si>
  <si>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</si>
  <si>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</si>
  <si>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</si>
  <si>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</si>
  <si>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</si>
  <si>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</si>
  <si>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</si>
  <si>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</si>
  <si>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</si>
  <si>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</si>
  <si>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</si>
  <si>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</si>
  <si>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</si>
  <si>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</si>
  <si>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</si>
  <si>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</si>
  <si>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</si>
  <si>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</si>
  <si>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</si>
  <si>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</si>
  <si>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</si>
  <si>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</si>
  <si>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</si>
  <si>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</si>
  <si>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</si>
  <si>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</si>
  <si>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</si>
  <si>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</si>
  <si>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</si>
  <si>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</si>
  <si>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</si>
  <si>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</si>
  <si>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</si>
  <si>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</si>
  <si>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</si>
  <si>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</si>
  <si>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</si>
  <si>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</si>
  <si>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</si>
  <si>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</si>
  <si>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</si>
  <si>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</si>
  <si>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</si>
  <si>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</si>
  <si>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</si>
  <si>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</si>
  <si>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</si>
  <si>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</si>
  <si>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</si>
  <si>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</si>
  <si>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</si>
  <si>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</si>
  <si>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</si>
  <si>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</si>
  <si>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</si>
  <si>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</si>
  <si>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</si>
  <si>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</si>
  <si>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</si>
  <si>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</si>
  <si>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</si>
  <si>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</si>
  <si>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</si>
  <si>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</si>
  <si>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</si>
  <si>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</si>
  <si>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</si>
  <si>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</si>
  <si>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</si>
  <si>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</si>
  <si>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</si>
  <si>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</si>
  <si>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</si>
  <si>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</si>
  <si>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</si>
  <si>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</si>
  <si>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</si>
  <si>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</si>
  <si>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</si>
  <si>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</si>
  <si>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</si>
  <si>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</si>
  <si>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</si>
  <si>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</si>
  <si>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</si>
  <si>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</si>
  <si>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</si>
  <si>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</si>
  <si>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</si>
  <si>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</si>
  <si>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</si>
  <si>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</si>
  <si>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</si>
  <si>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</si>
  <si>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</si>
  <si>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</si>
  <si>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</si>
  <si>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</si>
  <si>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</si>
  <si>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</si>
  <si>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</si>
  <si>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</si>
  <si>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</si>
  <si>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</si>
  <si>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</si>
  <si>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</si>
  <si>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</si>
  <si>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</si>
  <si>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</si>
  <si>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</si>
  <si>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</si>
  <si>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</si>
  <si>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</si>
  <si>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</si>
  <si>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</si>
  <si>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</si>
  <si>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</si>
  <si>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</si>
  <si>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</si>
  <si>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</si>
  <si>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</si>
  <si>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</si>
  <si>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</si>
  <si>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</si>
  <si>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</si>
  <si>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</si>
  <si>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</si>
  <si>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</si>
  <si>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</si>
  <si>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</si>
  <si>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</si>
  <si>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</si>
  <si>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</si>
  <si>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</si>
  <si>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</si>
  <si>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</si>
  <si>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</si>
  <si>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</si>
  <si>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</si>
  <si>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</si>
  <si>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</si>
  <si>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</si>
  <si>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</si>
  <si>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</si>
  <si>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</si>
  <si>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</si>
  <si>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</si>
  <si>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</si>
  <si>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</si>
  <si>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</si>
  <si>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</si>
  <si>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</si>
  <si>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</si>
  <si>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</si>
  <si>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</si>
  <si>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</si>
  <si>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</si>
  <si>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</si>
  <si>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</si>
  <si>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</si>
  <si>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</si>
  <si>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</si>
  <si>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</si>
  <si>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</si>
  <si>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</si>
  <si>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</si>
  <si>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</si>
  <si>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</si>
  <si>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</si>
  <si>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</si>
  <si>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</si>
  <si>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</si>
  <si>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</si>
  <si>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</si>
  <si>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</si>
  <si>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</si>
  <si>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</si>
  <si>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</si>
  <si>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</si>
  <si>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</si>
  <si>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</si>
  <si>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</si>
  <si>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</si>
  <si>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</si>
  <si>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</si>
  <si>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</si>
  <si>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</si>
  <si>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</si>
  <si>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</si>
  <si>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</si>
  <si>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</si>
  <si>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</si>
  <si>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</si>
  <si>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</si>
  <si>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</si>
  <si>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</si>
  <si>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</si>
  <si>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</si>
  <si>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</si>
  <si>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</si>
  <si>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</si>
  <si>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</si>
  <si>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</si>
  <si>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</si>
  <si>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</si>
  <si>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</si>
  <si>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</si>
  <si>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</si>
  <si>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</si>
  <si>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</si>
  <si>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</si>
  <si>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</si>
  <si>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</si>
  <si>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</si>
  <si>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</si>
  <si>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</si>
  <si>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</si>
  <si>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</si>
  <si>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</si>
  <si>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</si>
  <si>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</si>
  <si>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</si>
  <si>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</si>
  <si>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</si>
  <si>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</si>
  <si>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</si>
  <si>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</si>
  <si>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</si>
  <si>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</si>
  <si>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</si>
  <si>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</si>
  <si>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</si>
  <si>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</si>
  <si>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</si>
  <si>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</si>
  <si>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</si>
  <si>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</si>
  <si>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</si>
  <si>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</si>
  <si>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</si>
  <si>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</si>
  <si>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</si>
  <si>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</si>
  <si>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</si>
  <si>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</si>
  <si>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</si>
  <si>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</si>
  <si>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</si>
  <si>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</si>
  <si>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</si>
  <si>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</si>
  <si>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</si>
  <si>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</si>
  <si>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</si>
  <si>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</si>
  <si>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</si>
  <si>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</si>
  <si>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</si>
  <si>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</si>
  <si>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</si>
  <si>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</si>
  <si>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</si>
  <si>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</si>
  <si>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</si>
  <si>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</si>
  <si>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</si>
  <si>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</si>
  <si>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</si>
  <si>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</si>
  <si>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</si>
  <si>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</si>
  <si>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</si>
  <si>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</si>
  <si>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</si>
  <si>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</si>
  <si>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</si>
  <si>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</si>
  <si>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</si>
  <si>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</si>
  <si>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</si>
  <si>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</si>
  <si>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</si>
  <si>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</si>
  <si>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</si>
  <si>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</si>
  <si>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</si>
  <si>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</si>
  <si>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</si>
  <si>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</si>
  <si>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</si>
  <si>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</si>
  <si>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</si>
  <si>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</si>
  <si>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</si>
  <si>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</si>
  <si>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</si>
  <si>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</si>
  <si>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</si>
  <si>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</si>
  <si>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</si>
  <si>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</si>
  <si>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</si>
  <si>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</si>
  <si>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</si>
  <si>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</si>
  <si>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</si>
  <si>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</si>
  <si>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</si>
  <si>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</si>
  <si>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</si>
  <si>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</si>
  <si>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</si>
  <si>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</si>
  <si>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</si>
  <si>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</si>
  <si>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</si>
  <si>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</si>
  <si>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</si>
  <si>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</si>
  <si>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</si>
  <si>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</si>
  <si>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</si>
  <si>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</si>
  <si>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</si>
  <si>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</si>
  <si>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</si>
  <si>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</si>
  <si>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</si>
  <si>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</si>
  <si>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</si>
  <si>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</si>
  <si>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</si>
  <si>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</si>
  <si>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</si>
  <si>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</si>
  <si>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</si>
  <si>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</si>
  <si>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</si>
  <si>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</si>
  <si>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</si>
  <si>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</si>
  <si>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</si>
  <si>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</si>
  <si>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</si>
  <si>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</si>
  <si>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</si>
  <si>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</si>
  <si>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</si>
  <si>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</si>
  <si>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</si>
  <si>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</si>
  <si>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</si>
  <si>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</si>
  <si>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</si>
  <si>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</si>
  <si>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</si>
  <si>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</si>
  <si>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</si>
  <si>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</si>
  <si>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</si>
  <si>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</si>
  <si>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</si>
  <si>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</si>
  <si>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</si>
  <si>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</si>
  <si>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</si>
  <si>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</si>
  <si>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</si>
  <si>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</si>
  <si>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</si>
  <si>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</si>
  <si>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</si>
  <si>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</si>
  <si>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</si>
  <si>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</si>
  <si>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</si>
  <si>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</si>
  <si>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</si>
  <si>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</si>
  <si>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</si>
  <si>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</si>
  <si>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</si>
  <si>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</si>
  <si>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</si>
  <si>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</si>
  <si>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</si>
  <si>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</si>
  <si>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</si>
  <si>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</si>
  <si>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</si>
  <si>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</si>
  <si>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</si>
  <si>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</si>
  <si>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</si>
  <si>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</si>
  <si>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</si>
  <si>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</si>
  <si>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</si>
  <si>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</si>
  <si>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</si>
  <si>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</si>
  <si>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</si>
  <si>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</si>
  <si>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</si>
  <si>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</si>
  <si>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</si>
  <si>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</si>
  <si>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</si>
  <si>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</si>
  <si>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</si>
  <si>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</si>
  <si>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</si>
  <si>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</si>
  <si>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</si>
  <si>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</si>
  <si>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</si>
  <si>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</si>
  <si>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</si>
  <si>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</si>
  <si>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</si>
  <si>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</si>
  <si>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</si>
  <si>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</si>
  <si>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</si>
  <si>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</si>
  <si>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</si>
  <si>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</si>
  <si>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</si>
  <si>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</si>
  <si>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</si>
  <si>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</si>
  <si>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</si>
  <si>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</si>
  <si>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</si>
  <si>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</si>
  <si>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</si>
  <si>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</si>
  <si>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</si>
  <si>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</si>
  <si>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</si>
  <si>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</si>
  <si>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</si>
  <si>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</si>
  <si>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</si>
  <si>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</si>
  <si>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</si>
  <si>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</si>
  <si>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</si>
  <si>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</si>
  <si>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</si>
  <si>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</si>
  <si>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</si>
  <si>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</si>
  <si>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</si>
  <si>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</si>
  <si>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</si>
  <si>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</si>
  <si>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</si>
  <si>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</si>
  <si>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</si>
  <si>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</si>
  <si>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</si>
  <si>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</si>
  <si>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</si>
  <si>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</si>
  <si>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</si>
  <si>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</si>
  <si>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</si>
  <si>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</si>
  <si>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</si>
  <si>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</si>
  <si>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</si>
  <si>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</si>
  <si>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</si>
  <si>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</si>
  <si>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</si>
  <si>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</si>
  <si>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</si>
  <si>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</si>
  <si>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</si>
  <si>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</si>
  <si>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</si>
  <si>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</si>
  <si>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</si>
  <si>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</si>
  <si>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</si>
  <si>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</si>
  <si>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</si>
  <si>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</si>
  <si>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</si>
  <si>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</si>
  <si>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</si>
  <si>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</si>
  <si>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</si>
  <si>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</si>
  <si>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</si>
  <si>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</si>
  <si>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</si>
  <si>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</si>
  <si>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</si>
  <si>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</si>
  <si>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</si>
  <si>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</si>
  <si>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</si>
  <si>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</si>
  <si>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</si>
  <si>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</si>
  <si>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</si>
  <si>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</si>
  <si>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</si>
  <si>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</si>
  <si>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</si>
  <si>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</si>
  <si>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</si>
  <si>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</si>
  <si>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</si>
  <si>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</si>
  <si>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</si>
  <si>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</si>
  <si>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</si>
  <si>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</si>
  <si>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</si>
  <si>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</si>
  <si>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</si>
  <si>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</si>
  <si>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</si>
  <si>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</si>
  <si>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</si>
  <si>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</si>
  <si>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</si>
  <si>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</si>
  <si>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</si>
  <si>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</si>
  <si>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</si>
  <si>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</si>
  <si>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</si>
  <si>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</si>
  <si>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</si>
  <si>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</si>
  <si>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</si>
  <si>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</si>
  <si>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</si>
  <si>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</si>
  <si>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</si>
  <si>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</si>
  <si>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</si>
  <si>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</si>
  <si>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</si>
  <si>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</si>
  <si>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</si>
  <si>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</si>
  <si>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</si>
  <si>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</si>
  <si>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</si>
  <si>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</si>
  <si>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</si>
  <si>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</si>
  <si>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</si>
  <si>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</si>
  <si>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</si>
  <si>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</si>
  <si>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</si>
  <si>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</si>
  <si>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</si>
  <si>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</si>
  <si>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</si>
  <si>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</si>
  <si>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</si>
  <si>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</si>
  <si>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</si>
  <si>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</si>
  <si>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</si>
  <si>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</si>
  <si>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</si>
  <si>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</si>
  <si>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</si>
  <si>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</si>
  <si>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</si>
  <si>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</si>
  <si>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</si>
  <si>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</si>
  <si>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</si>
  <si>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</si>
  <si>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</si>
  <si>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</si>
  <si>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</si>
  <si>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</si>
  <si>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</si>
  <si>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</si>
  <si>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</si>
  <si>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</si>
  <si>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</si>
  <si>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</si>
  <si>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</si>
  <si>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</si>
  <si>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</si>
  <si>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</si>
  <si>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</si>
  <si>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</si>
  <si>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</si>
  <si>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</si>
  <si>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</si>
  <si>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</si>
  <si>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</si>
  <si>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</si>
  <si>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</si>
  <si>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</si>
  <si>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</si>
  <si>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</si>
  <si>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</si>
  <si>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</si>
  <si>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</si>
  <si>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</si>
  <si>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</si>
  <si>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</si>
  <si>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</si>
  <si>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</si>
  <si>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</si>
  <si>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</si>
  <si>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</si>
  <si>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</si>
  <si>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</si>
  <si>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</si>
  <si>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</si>
  <si>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</si>
  <si>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</si>
  <si>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</si>
  <si>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</si>
  <si>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</si>
  <si>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</si>
  <si>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</si>
  <si>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</si>
  <si>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</si>
  <si>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</si>
  <si>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</si>
  <si>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</si>
  <si>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</si>
  <si>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</si>
  <si>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</si>
  <si>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</si>
  <si>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</si>
  <si>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</si>
  <si>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</si>
  <si>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</si>
  <si>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</si>
  <si>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</si>
  <si>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</si>
  <si>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</si>
  <si>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</si>
  <si>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</si>
  <si>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</si>
  <si>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</si>
  <si>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</si>
  <si>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</si>
  <si>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</si>
  <si>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</si>
  <si>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</si>
  <si>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</si>
  <si>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</si>
  <si>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</si>
  <si>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</si>
  <si>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</si>
  <si>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</si>
  <si>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</si>
  <si>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</si>
  <si>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</si>
  <si>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</si>
  <si>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</si>
  <si>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</si>
  <si>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</si>
  <si>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</si>
  <si>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</si>
  <si>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</si>
  <si>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</si>
  <si>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</si>
  <si>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</si>
  <si>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</si>
  <si>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</si>
  <si>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</si>
  <si>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</si>
  <si>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</si>
  <si>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</si>
  <si>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</si>
  <si>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</si>
  <si>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</si>
  <si>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</si>
  <si>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</si>
  <si>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</si>
  <si>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</si>
  <si>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</si>
  <si>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</si>
  <si>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</si>
  <si>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</si>
  <si>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</si>
  <si>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</si>
  <si>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</si>
  <si>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</si>
  <si>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</si>
  <si>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</si>
  <si>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</si>
  <si>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</si>
  <si>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</si>
  <si>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</si>
  <si>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</si>
  <si>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</si>
  <si>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</si>
  <si>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</si>
  <si>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</si>
  <si>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</si>
  <si>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</si>
  <si>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</si>
  <si>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</si>
  <si>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</si>
  <si>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</si>
  <si>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</si>
  <si>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</si>
  <si>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</si>
  <si>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</si>
  <si>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</si>
  <si>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</si>
  <si>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</si>
  <si>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</si>
  <si>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</si>
  <si>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</si>
  <si>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</si>
  <si>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</si>
  <si>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</si>
  <si>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</si>
  <si>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</si>
  <si>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</si>
  <si>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</si>
  <si>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</si>
  <si>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</si>
  <si>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</si>
  <si>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</si>
  <si>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</si>
  <si>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</si>
  <si>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</si>
  <si>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</si>
  <si>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</si>
  <si>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</si>
  <si>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</si>
  <si>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</si>
  <si>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</si>
  <si>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</si>
  <si>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</si>
  <si>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</si>
  <si>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</si>
  <si>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</si>
  <si>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</si>
  <si>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</si>
  <si>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</si>
  <si>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</si>
  <si>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</si>
  <si>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</si>
  <si>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</si>
  <si>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</si>
  <si>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</si>
  <si>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</si>
  <si>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</si>
  <si>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</si>
  <si>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</si>
  <si>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</si>
  <si>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</si>
  <si>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</si>
  <si>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</si>
  <si>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</si>
  <si>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</si>
  <si>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</si>
  <si>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</si>
  <si>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</si>
  <si>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</si>
  <si>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</si>
  <si>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</si>
  <si>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</si>
  <si>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</si>
  <si>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</si>
  <si>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</si>
  <si>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</si>
  <si>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</si>
  <si>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</si>
  <si>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</si>
  <si>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</si>
  <si>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</si>
  <si>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</si>
  <si>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</si>
  <si>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</si>
  <si>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</si>
  <si>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</si>
  <si>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</si>
  <si>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</si>
  <si>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</si>
  <si>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</si>
  <si>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</si>
  <si>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</si>
  <si>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</si>
  <si>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</si>
  <si>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</si>
  <si>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</si>
  <si>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</si>
  <si>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</si>
  <si>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</si>
  <si>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</si>
  <si>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</si>
  <si>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</si>
  <si>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</si>
  <si>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</si>
  <si>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</si>
  <si>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</si>
  <si>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</si>
  <si>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</si>
  <si>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</si>
  <si>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</si>
  <si>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</si>
  <si>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</si>
  <si>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</si>
  <si>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</si>
  <si>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</si>
  <si>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</si>
  <si>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</si>
  <si>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</si>
  <si>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</si>
  <si>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</si>
  <si>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</si>
  <si>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</si>
  <si>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</si>
  <si>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</si>
  <si>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</si>
  <si>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</si>
  <si>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</si>
  <si>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</si>
  <si>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</si>
  <si>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</si>
  <si>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</si>
  <si>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</si>
  <si>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</si>
  <si>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</si>
  <si>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</si>
  <si>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</si>
  <si>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</si>
  <si>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</si>
  <si>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</si>
  <si>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</si>
  <si>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</si>
  <si>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</si>
  <si>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</si>
  <si>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</si>
  <si>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</si>
  <si>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</si>
  <si>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</si>
  <si>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</si>
  <si>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</si>
  <si>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</si>
  <si>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</si>
  <si>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</si>
  <si>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</si>
  <si>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</si>
  <si>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</si>
  <si>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</si>
  <si>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</si>
  <si>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</si>
  <si>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</si>
  <si>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</si>
  <si>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</si>
  <si>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</si>
  <si>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</si>
  <si>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</si>
  <si>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</si>
  <si>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</si>
  <si>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</si>
  <si>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</si>
  <si>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</si>
  <si>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</si>
  <si>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</si>
  <si>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</si>
  <si>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</si>
  <si>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</si>
  <si>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</si>
  <si>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</si>
  <si>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</si>
  <si>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</si>
  <si>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</si>
  <si>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</si>
  <si>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</si>
  <si>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</si>
  <si>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</si>
  <si>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</si>
  <si>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</si>
  <si>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</si>
  <si>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</si>
  <si>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</si>
  <si>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</si>
  <si>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</si>
  <si>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</si>
  <si>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</si>
  <si>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</si>
  <si>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</si>
  <si>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</si>
  <si>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</si>
  <si>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</si>
  <si>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</si>
  <si>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</si>
  <si>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</si>
  <si>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</si>
  <si>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</si>
  <si>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</si>
  <si>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</si>
  <si>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</si>
  <si>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</si>
  <si>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</si>
  <si>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</si>
  <si>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</si>
  <si>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</si>
  <si>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</si>
  <si>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</si>
  <si>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</si>
  <si>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</si>
  <si>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</si>
  <si>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</si>
  <si>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</si>
  <si>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</si>
  <si>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</si>
  <si>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</si>
  <si>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</si>
  <si>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</si>
  <si>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</si>
  <si>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</si>
  <si>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</si>
  <si>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</si>
  <si>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</si>
  <si>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</si>
  <si>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</si>
  <si>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</si>
  <si>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</si>
  <si>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</si>
  <si>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</si>
  <si>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</si>
  <si>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</si>
  <si>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</si>
  <si>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</si>
  <si>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</si>
  <si>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</si>
  <si>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</si>
  <si>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</si>
  <si>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</si>
  <si>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</si>
  <si>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</si>
  <si>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</si>
  <si>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</si>
  <si>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</si>
  <si>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</si>
  <si>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</si>
  <si>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</si>
  <si>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</si>
  <si>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</si>
  <si>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</si>
  <si>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</si>
  <si>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</si>
  <si>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</si>
  <si>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</si>
  <si>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</si>
  <si>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</si>
  <si>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</si>
  <si>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</si>
  <si>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</si>
  <si>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</si>
  <si>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</si>
  <si>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</si>
  <si>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</si>
  <si>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</si>
  <si>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</si>
  <si>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</si>
  <si>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</si>
  <si>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</si>
  <si>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</si>
  <si>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</si>
  <si>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</si>
  <si>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</si>
  <si>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</si>
  <si>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</si>
  <si>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</si>
  <si>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</si>
  <si>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</si>
  <si>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</si>
  <si>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</si>
  <si>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</si>
  <si>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</si>
  <si>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</si>
  <si>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</si>
  <si>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</si>
  <si>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</si>
  <si>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</si>
  <si>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</si>
  <si>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</si>
  <si>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</si>
  <si>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</si>
  <si>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</si>
  <si>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</si>
  <si>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</si>
  <si>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</si>
  <si>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</si>
  <si>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</si>
  <si>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</si>
  <si>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</si>
  <si>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</si>
  <si>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</si>
  <si>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</si>
  <si>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</si>
  <si>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</si>
  <si>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</si>
  <si>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</si>
  <si>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</si>
  <si>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</si>
  <si>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</si>
  <si>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</si>
  <si>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</si>
  <si>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</si>
  <si>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</si>
  <si>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</si>
  <si>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</si>
  <si>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</si>
  <si>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</si>
  <si>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</si>
  <si>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</si>
  <si>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</si>
  <si>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</si>
  <si>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</si>
  <si>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</si>
  <si>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</si>
  <si>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</si>
  <si>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</si>
  <si>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</si>
  <si>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</si>
  <si>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</si>
  <si>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</si>
  <si>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</si>
  <si>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</si>
  <si>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</si>
  <si>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</si>
  <si>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</si>
  <si>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</si>
  <si>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</si>
  <si>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</si>
  <si>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</si>
  <si>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</si>
  <si>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</si>
  <si>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</si>
  <si>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</si>
  <si>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</si>
  <si>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</si>
  <si>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</si>
  <si>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</si>
  <si>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</si>
  <si>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</si>
  <si>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</si>
  <si>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</si>
  <si>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</si>
  <si>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</si>
  <si>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</si>
  <si>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</si>
  <si>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</si>
  <si>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</si>
  <si>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</si>
  <si>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</si>
  <si>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</si>
  <si>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</si>
  <si>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</si>
  <si>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</si>
  <si>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</si>
  <si>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</si>
  <si>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</si>
  <si>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</si>
  <si>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</si>
  <si>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</si>
  <si>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</si>
  <si>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</si>
  <si>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</si>
  <si>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</si>
  <si>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</si>
  <si>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</si>
  <si>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</si>
  <si>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</si>
  <si>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</si>
  <si>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</si>
  <si>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</si>
  <si>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</si>
  <si>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</si>
  <si>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</si>
  <si>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</si>
  <si>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</si>
  <si>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</si>
  <si>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</si>
  <si>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</si>
  <si>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</si>
  <si>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</si>
  <si>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</si>
  <si>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</si>
  <si>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</si>
  <si>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</si>
  <si>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</si>
  <si>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</si>
  <si>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</si>
  <si>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</si>
  <si>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</si>
  <si>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</si>
  <si>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</si>
  <si>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</si>
  <si>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</si>
  <si>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</si>
  <si>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</si>
  <si>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</si>
  <si>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</si>
  <si>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</si>
  <si>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</si>
  <si>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</si>
  <si>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</si>
  <si>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</si>
  <si>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</si>
  <si>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</si>
  <si>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</si>
  <si>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</si>
  <si>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</si>
  <si>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</si>
  <si>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</si>
  <si>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</si>
  <si>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</si>
  <si>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</si>
  <si>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</si>
  <si>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</si>
  <si>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</si>
  <si>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</si>
  <si>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</si>
  <si>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</si>
  <si>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</si>
  <si>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</si>
  <si>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</si>
  <si>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</si>
  <si>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</si>
  <si>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</si>
  <si>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</si>
  <si>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</si>
  <si>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</si>
  <si>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</si>
  <si>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</si>
  <si>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</si>
  <si>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</si>
  <si>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</si>
  <si>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</si>
  <si>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</si>
  <si>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</si>
  <si>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</si>
  <si>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</si>
  <si>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</si>
  <si>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</si>
  <si>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</si>
  <si>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</si>
  <si>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</si>
  <si>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</si>
  <si>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</si>
  <si>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</si>
  <si>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</si>
  <si>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</si>
  <si>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</si>
  <si>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</si>
  <si>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</si>
  <si>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</si>
  <si>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</si>
  <si>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</si>
  <si>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</si>
  <si>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</si>
  <si>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</si>
  <si>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</si>
  <si>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</si>
  <si>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</si>
  <si>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</si>
  <si>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</si>
  <si>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</si>
  <si>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</si>
  <si>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</si>
  <si>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</si>
  <si>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</si>
  <si>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</si>
  <si>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</si>
  <si>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</si>
  <si>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</si>
  <si>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</si>
  <si>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</si>
  <si>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</si>
  <si>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</si>
  <si>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</si>
  <si>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</si>
  <si>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</si>
  <si>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</si>
  <si>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</si>
  <si>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</si>
  <si>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</si>
  <si>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</si>
  <si>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</si>
  <si>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</si>
  <si>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</si>
  <si>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</si>
  <si>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</si>
  <si>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</si>
  <si>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</si>
  <si>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</si>
  <si>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</si>
  <si>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</si>
  <si>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</si>
  <si>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</si>
  <si>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</si>
  <si>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</si>
  <si>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</si>
  <si>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</si>
  <si>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</si>
  <si>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</si>
  <si>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</si>
  <si>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</si>
  <si>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</si>
  <si>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</si>
  <si>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</si>
  <si>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</si>
  <si>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</si>
  <si>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</si>
  <si>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</si>
  <si>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</si>
  <si>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</si>
  <si>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</si>
  <si>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</si>
  <si>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</si>
  <si>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</si>
  <si>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</si>
  <si>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</si>
  <si>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</si>
  <si>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</si>
  <si>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</si>
  <si>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</si>
  <si>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</si>
  <si>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</si>
  <si>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</si>
  <si>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</si>
  <si>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</si>
  <si>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</si>
  <si>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</si>
  <si>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</si>
  <si>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</si>
  <si>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</si>
  <si>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</si>
  <si>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</si>
  <si>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</si>
  <si>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</si>
  <si>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</si>
  <si>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</si>
  <si>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</si>
  <si>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</si>
  <si>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</si>
  <si>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</si>
  <si>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</si>
  <si>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</si>
  <si>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</si>
  <si>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</si>
  <si>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</si>
  <si>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</si>
  <si>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</si>
  <si>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</si>
  <si>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</si>
  <si>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</si>
  <si>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</si>
  <si>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</si>
  <si>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</si>
  <si>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</si>
  <si>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</si>
  <si>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</si>
  <si>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</si>
  <si>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</si>
  <si>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</si>
  <si>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</si>
  <si>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</si>
  <si>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</si>
  <si>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</si>
  <si>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</si>
  <si>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</si>
  <si>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</si>
  <si>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</si>
  <si>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</si>
  <si>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</si>
  <si>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</si>
  <si>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</si>
  <si>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</si>
  <si>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</si>
  <si>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</si>
  <si>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</si>
  <si>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</si>
  <si>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</si>
  <si>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</si>
  <si>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</si>
  <si>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</si>
  <si>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</si>
  <si>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</si>
  <si>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</si>
  <si>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</si>
  <si>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</si>
  <si>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</si>
  <si>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</si>
  <si>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</si>
  <si>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</si>
  <si>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</si>
  <si>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</si>
  <si>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</si>
  <si>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</si>
  <si>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</si>
  <si>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</si>
  <si>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</si>
  <si>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</si>
  <si>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</si>
  <si>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</si>
  <si>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</si>
  <si>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</si>
  <si>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</si>
  <si>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</si>
  <si>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</si>
  <si>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</si>
  <si>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</si>
  <si>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</si>
  <si>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</si>
  <si>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</si>
  <si>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</si>
  <si>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</si>
  <si>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</si>
  <si>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</si>
  <si>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</si>
  <si>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</si>
  <si>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</si>
  <si>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</si>
  <si>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</si>
  <si>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</si>
  <si>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</si>
  <si>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</si>
  <si>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</si>
  <si>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</si>
  <si>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</si>
  <si>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</si>
  <si>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</si>
  <si>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</si>
  <si>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</si>
  <si>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</si>
  <si>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</si>
  <si>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</si>
  <si>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</si>
  <si>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</si>
  <si>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</si>
  <si>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</si>
  <si>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</si>
  <si>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</si>
  <si>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</si>
  <si>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</si>
  <si>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</si>
  <si>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</si>
  <si>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</si>
  <si>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</si>
  <si>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</si>
  <si>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</si>
  <si>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</si>
  <si>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</si>
  <si>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</si>
  <si>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</si>
  <si>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</si>
  <si>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</si>
  <si>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</si>
  <si>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</si>
  <si>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</si>
  <si>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</si>
  <si>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</si>
  <si>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</si>
  <si>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</si>
  <si>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</si>
  <si>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</si>
  <si>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</si>
  <si>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</si>
  <si>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</si>
  <si>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</si>
  <si>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</si>
  <si>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</si>
  <si>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</si>
  <si>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</si>
  <si>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</si>
  <si>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</si>
  <si>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</si>
  <si>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</si>
  <si>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</si>
  <si>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</si>
  <si>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</si>
  <si>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</si>
  <si>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</si>
  <si>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</si>
  <si>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</si>
  <si>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</si>
  <si>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</si>
  <si>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</si>
  <si>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</si>
  <si>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</si>
  <si>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</si>
  <si>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</si>
  <si>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</si>
  <si>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</si>
  <si>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</si>
  <si>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</si>
  <si>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</si>
  <si>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</si>
  <si>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</si>
  <si>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</si>
  <si>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</si>
  <si>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</si>
  <si>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</si>
  <si>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</si>
  <si>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</si>
  <si>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</si>
  <si>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</si>
  <si>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</si>
  <si>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</si>
  <si>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</si>
  <si>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</si>
  <si>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</si>
  <si>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</si>
  <si>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</si>
  <si>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</si>
  <si>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</si>
  <si>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</si>
  <si>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</si>
  <si>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</si>
  <si>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</si>
  <si>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</si>
  <si>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</si>
  <si>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</si>
  <si>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</si>
  <si>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</si>
  <si>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</si>
  <si>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</si>
  <si>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</si>
  <si>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</si>
  <si>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</si>
  <si>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</si>
  <si>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</si>
  <si>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</si>
  <si>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</si>
  <si>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</si>
  <si>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</si>
  <si>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</si>
  <si>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</si>
  <si>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</si>
  <si>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</si>
  <si>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</si>
  <si>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</si>
  <si>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</si>
  <si>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</si>
  <si>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</si>
  <si>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</si>
  <si>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</si>
  <si>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</si>
  <si>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</si>
  <si>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</si>
  <si>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</si>
  <si>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</si>
  <si>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</si>
  <si>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</si>
  <si>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</si>
  <si>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</si>
  <si>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</si>
  <si>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</si>
  <si>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</si>
  <si>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</si>
  <si>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</si>
  <si>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</si>
  <si>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</si>
  <si>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</si>
  <si>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</si>
  <si>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</si>
  <si>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</si>
  <si>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</si>
  <si>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</si>
  <si>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</si>
  <si>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</si>
  <si>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</si>
  <si>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</si>
  <si>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</si>
  <si>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</si>
  <si>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</si>
  <si>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</si>
  <si>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</si>
  <si>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</si>
  <si>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</si>
  <si>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</si>
  <si>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</si>
  <si>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</si>
  <si>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</si>
  <si>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</si>
  <si>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</si>
  <si>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</si>
  <si>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</si>
  <si>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</si>
  <si>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</si>
  <si>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</si>
  <si>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</si>
  <si>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</si>
  <si>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</si>
  <si>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</si>
  <si>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</si>
  <si>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</si>
  <si>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</si>
  <si>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</si>
  <si>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</si>
  <si>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</si>
  <si>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</si>
  <si>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</si>
  <si>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</si>
  <si>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</si>
  <si>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</si>
  <si>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</si>
  <si>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</si>
  <si>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</si>
  <si>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</si>
  <si>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</si>
  <si>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</si>
  <si>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</si>
  <si>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</si>
  <si>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</si>
  <si>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</si>
  <si>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</si>
  <si>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</si>
  <si>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</si>
  <si>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</si>
  <si>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</si>
  <si>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</si>
  <si>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</si>
  <si>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</si>
  <si>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</si>
  <si>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</si>
  <si>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</si>
  <si>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</si>
  <si>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</si>
  <si>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</si>
  <si>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</si>
  <si>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</si>
  <si>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</si>
  <si>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</si>
  <si>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</si>
  <si>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</si>
  <si>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</si>
  <si>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</si>
  <si>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</si>
  <si>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</si>
  <si>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</si>
  <si>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</si>
  <si>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</si>
  <si>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</si>
  <si>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</si>
  <si>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</si>
  <si>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</si>
  <si>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</si>
  <si>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</si>
  <si>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</si>
  <si>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</si>
  <si>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</si>
  <si>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</si>
  <si>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</si>
  <si>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</si>
  <si>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</si>
  <si>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</si>
  <si>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</si>
  <si>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</si>
  <si>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</si>
  <si>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</si>
  <si>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</si>
  <si>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</si>
  <si>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</si>
  <si>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</si>
  <si>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</si>
  <si>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</si>
  <si>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</si>
  <si>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</si>
  <si>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</si>
  <si>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</si>
  <si>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</si>
  <si>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</si>
  <si>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</si>
  <si>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</si>
  <si>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</si>
  <si>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</si>
  <si>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</si>
  <si>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</si>
  <si>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</si>
  <si>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</si>
  <si>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</si>
  <si>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</si>
  <si>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</si>
  <si>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</si>
  <si>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</si>
  <si>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</si>
  <si>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</si>
  <si>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</si>
  <si>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</si>
  <si>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</si>
  <si>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</si>
  <si>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</si>
  <si>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</si>
  <si>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</si>
  <si>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</si>
  <si>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</si>
  <si>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</si>
  <si>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</si>
  <si>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</si>
  <si>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</si>
  <si>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</si>
  <si>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</si>
  <si>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</si>
  <si>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</si>
  <si>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</si>
  <si>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</si>
  <si>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</si>
  <si>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</si>
  <si>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</si>
  <si>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</si>
  <si>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</si>
  <si>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</si>
  <si>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</si>
  <si>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</si>
  <si>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</si>
  <si>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</si>
  <si>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</si>
  <si>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</si>
  <si>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</si>
  <si>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</si>
  <si>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</si>
  <si>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</si>
  <si>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</si>
  <si>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</si>
  <si>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</si>
  <si>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</si>
  <si>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</si>
  <si>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</si>
  <si>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</si>
  <si>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</si>
  <si>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</si>
  <si>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</si>
  <si>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</si>
  <si>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</si>
  <si>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</si>
  <si>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</si>
  <si>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</si>
  <si>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</si>
  <si>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</si>
  <si>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</si>
  <si>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</si>
  <si>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</si>
  <si>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</si>
  <si>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</si>
  <si>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</si>
  <si>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</si>
  <si>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</si>
  <si>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</si>
  <si>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</si>
  <si>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</si>
  <si>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</si>
  <si>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</si>
  <si>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</si>
  <si>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</si>
  <si>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</si>
  <si>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</si>
  <si>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</si>
  <si>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</si>
  <si>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</si>
  <si>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</si>
  <si>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</si>
  <si>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</si>
  <si>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</si>
  <si>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</si>
  <si>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</si>
  <si>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</si>
  <si>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</si>
  <si>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</si>
  <si>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</si>
  <si>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</si>
  <si>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</si>
  <si>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</si>
  <si>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</si>
  <si>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</si>
  <si>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</si>
  <si>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</si>
  <si>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</si>
  <si>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</si>
  <si>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</si>
  <si>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</si>
  <si>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</si>
  <si>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</si>
  <si>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</si>
  <si>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</si>
  <si>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</si>
  <si>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</si>
  <si>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</si>
  <si>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</si>
  <si>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</si>
  <si>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</si>
  <si>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</si>
  <si>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</si>
  <si>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</si>
  <si>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</si>
  <si>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</si>
  <si>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</si>
  <si>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</si>
  <si>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</si>
  <si>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</si>
  <si>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</si>
  <si>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</si>
  <si>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</si>
  <si>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</si>
  <si>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</si>
  <si>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</si>
  <si>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</si>
  <si>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</si>
  <si>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</si>
  <si>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</si>
  <si>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</si>
  <si>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</si>
  <si>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</si>
  <si>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</si>
  <si>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</si>
  <si>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</si>
  <si>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</si>
  <si>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</si>
  <si>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</si>
  <si>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</si>
  <si>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</si>
  <si>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</si>
  <si>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</si>
  <si>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</si>
  <si>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</si>
  <si>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</si>
  <si>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</si>
  <si>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</si>
  <si>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</si>
  <si>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</si>
  <si>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</si>
  <si>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</si>
  <si>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</si>
  <si>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</si>
  <si>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</si>
  <si>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</si>
  <si>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</si>
  <si>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</si>
  <si>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</si>
  <si>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</si>
  <si>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</si>
  <si>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</si>
  <si>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</si>
  <si>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</si>
  <si>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</si>
  <si>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</si>
  <si>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</si>
  <si>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</si>
  <si>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</si>
  <si>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</si>
  <si>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</si>
  <si>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</si>
  <si>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</si>
  <si>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</si>
  <si>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</si>
  <si>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</si>
  <si>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</si>
  <si>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</si>
  <si>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</si>
  <si>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</si>
  <si>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</si>
  <si>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</si>
  <si>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</si>
  <si>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</si>
  <si>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</si>
  <si>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</si>
  <si>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</si>
  <si>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</si>
  <si>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</si>
  <si>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</si>
  <si>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</si>
  <si>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</si>
  <si>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</si>
  <si>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</si>
  <si>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</si>
  <si>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</si>
  <si>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</si>
  <si>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</si>
  <si>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</si>
  <si>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</si>
  <si>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</si>
  <si>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</si>
  <si>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Trim_clean</t>
  </si>
  <si>
    <t/>
  </si>
  <si>
    <t>Unknown</t>
  </si>
  <si>
    <t>shipping_delay_days</t>
  </si>
  <si>
    <t>order_month</t>
  </si>
  <si>
    <t>order_year</t>
  </si>
  <si>
    <t>cleaned_discount</t>
  </si>
  <si>
    <t>calculated_sales</t>
  </si>
  <si>
    <t>calculated_profit</t>
  </si>
  <si>
    <t>profit_margin</t>
  </si>
  <si>
    <t>data_quality_flag</t>
  </si>
  <si>
    <t>Invalid (ship_date)</t>
  </si>
  <si>
    <t>Invalid (discount)</t>
  </si>
  <si>
    <t>Clean</t>
  </si>
  <si>
    <t>Warning (ship mode missing)</t>
  </si>
  <si>
    <t>Warning (region missing)</t>
  </si>
  <si>
    <t>Warning (region/ship mode 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</si>
</sst>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/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right" vertical="center" wrapText="1"/>
    </xf>
    <xf numFmtId="14" fontId="0" fillId="0" borderId="0" xfId="0" applyNumberFormat="1" applyAlignment="1">
      <alignment horizontal="right" vertical="center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9" fontId="0" fillId="0" borderId="0" xfId="1" applyFont="1"/>
    <xf numFmtId="9" fontId="0" fillId="4" borderId="0" xfId="1" applyFont="1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33"/>
  <sheetViews>
    <sheetView tabSelected="1" topLeftCell="P1" zoomScale="70" zoomScaleNormal="70" workbookViewId="0">
      <selection activeCell="T914" sqref="T914:T923"/>
    </sheetView>
  </sheetViews>
  <sheetFormatPr defaultColWidth="10.59765625" defaultRowHeight="13.8"/>
  <cols>
    <col min="1" max="1" width="15.19921875" bestFit="1" customWidth="1"/>
    <col min="2" max="2" width="10.796875" style="7" bestFit="1" customWidth="1"/>
    <col min="3" max="3" width="15.3984375" style="4" bestFit="1" customWidth="1"/>
    <col min="4" max="4" width="25.796875" bestFit="1" customWidth="1"/>
    <col min="5" max="5" width="18.19921875" bestFit="1" customWidth="1"/>
    <col min="6" max="6" width="16.5" bestFit="1" customWidth="1"/>
    <col min="7" max="7" width="17.69921875" bestFit="1" customWidth="1"/>
    <col min="8" max="8" width="21.19921875" bestFit="1" customWidth="1"/>
    <col min="9" max="9" width="14.3984375" bestFit="1" customWidth="1"/>
    <col min="10" max="10" width="12.5" bestFit="1" customWidth="1"/>
    <col min="11" max="11" width="15.09765625" bestFit="1" customWidth="1"/>
    <col min="12" max="12" width="12.09765625" bestFit="1" customWidth="1"/>
    <col min="13" max="13" width="14.5" bestFit="1" customWidth="1"/>
    <col min="14" max="14" width="18.796875" bestFit="1" customWidth="1"/>
    <col min="15" max="15" width="22" bestFit="1" customWidth="1"/>
    <col min="16" max="16" width="16.5" bestFit="1" customWidth="1"/>
    <col min="17" max="17" width="14" bestFit="1" customWidth="1"/>
    <col min="18" max="18" width="15.69921875" bestFit="1" customWidth="1"/>
    <col min="19" max="19" width="14.19921875" bestFit="1" customWidth="1"/>
    <col min="20" max="20" width="18.3984375" bestFit="1" customWidth="1"/>
    <col min="21" max="21" width="11.19921875" bestFit="1" customWidth="1"/>
    <col min="22" max="22" width="17.796875" bestFit="1" customWidth="1"/>
    <col min="23" max="23" width="10.19921875" bestFit="1" customWidth="1"/>
    <col min="24" max="24" width="11.3984375" bestFit="1" customWidth="1"/>
    <col min="25" max="25" width="17.3984375" bestFit="1" customWidth="1"/>
    <col min="26" max="26" width="14.3984375" bestFit="1" customWidth="1"/>
    <col min="27" max="27" width="20.796875" bestFit="1" customWidth="1"/>
    <col min="28" max="28" width="17.69921875" bestFit="1" customWidth="1"/>
    <col min="29" max="29" width="29.3984375" bestFit="1" customWidth="1"/>
    <col min="31" max="31" width="16.796875" bestFit="1" customWidth="1"/>
  </cols>
  <sheetData>
    <row r="1" spans="1:45" ht="22.35" customHeight="1">
      <c r="A1" s="1" t="s">
        <v>0</v>
      </c>
      <c r="B1" s="6" t="s">
        <v>1</v>
      </c>
      <c r="C1" s="5" t="s">
        <v>2</v>
      </c>
      <c r="D1" s="9" t="s">
        <v>2784</v>
      </c>
      <c r="E1" s="9" t="s">
        <v>2785</v>
      </c>
      <c r="F1" s="9" t="s">
        <v>2786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1" t="s">
        <v>2787</v>
      </c>
      <c r="U1" s="1" t="s">
        <v>16</v>
      </c>
      <c r="V1" s="11" t="s">
        <v>2788</v>
      </c>
      <c r="W1" s="1" t="s">
        <v>17</v>
      </c>
      <c r="X1" s="1" t="s">
        <v>18</v>
      </c>
      <c r="Y1" s="11" t="s">
        <v>2789</v>
      </c>
      <c r="Z1" s="11" t="s">
        <v>2790</v>
      </c>
      <c r="AA1" s="1" t="s">
        <v>19</v>
      </c>
      <c r="AB1" s="1" t="s">
        <v>20</v>
      </c>
      <c r="AC1" s="9" t="s">
        <v>2791</v>
      </c>
      <c r="AE1" s="1" t="s">
        <v>2781</v>
      </c>
    </row>
    <row r="2" spans="1:45">
      <c r="A2" t="s">
        <v>21</v>
      </c>
      <c r="B2" s="7">
        <v>45494</v>
      </c>
      <c r="C2" s="8">
        <v>45500</v>
      </c>
      <c r="D2">
        <f t="shared" ref="D2:D65" si="0">C2-B2</f>
        <v>6</v>
      </c>
      <c r="E2" t="str">
        <f>TEXT(B2,"mmmm")</f>
        <v>July</v>
      </c>
      <c r="F2">
        <f>YEAR(B2)</f>
        <v>2024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8</v>
      </c>
      <c r="R2">
        <v>2976.45</v>
      </c>
      <c r="S2">
        <v>0.2</v>
      </c>
      <c r="T2" s="12">
        <f>S2</f>
        <v>0.2</v>
      </c>
      <c r="U2">
        <v>19049.28</v>
      </c>
      <c r="V2">
        <f>Q2*R2*(1-S2)</f>
        <v>19049.28</v>
      </c>
      <c r="W2">
        <v>15841.89</v>
      </c>
      <c r="X2">
        <v>3207.39</v>
      </c>
      <c r="Y2">
        <f>V2-W2</f>
        <v>3207.3899999999994</v>
      </c>
      <c r="Z2" s="12">
        <f>Y2/V2</f>
        <v>0.16837329284886357</v>
      </c>
      <c r="AA2" t="s">
        <v>32</v>
      </c>
      <c r="AB2" t="s">
        <v>33</v>
      </c>
      <c r="AC2" s="14" t="s">
        <v>2794</v>
      </c>
      <c r="AD2" t="s">
        <v>2782</v>
      </c>
      <c r="AE2" t="str">
        <f>PROPER(TRIM(AB2))</f>
        <v>Completed</v>
      </c>
      <c r="AS2" t="str">
        <f t="shared" ref="AS2" si="1">PROPER(TRIM(AD2))</f>
        <v/>
      </c>
    </row>
    <row r="3" spans="1:45">
      <c r="A3" t="s">
        <v>34</v>
      </c>
      <c r="B3" s="7">
        <v>45535</v>
      </c>
      <c r="C3" s="4">
        <v>45540</v>
      </c>
      <c r="D3">
        <f>C3-B3</f>
        <v>5</v>
      </c>
      <c r="E3" t="str">
        <f>TEXT(B3,"mmmm")</f>
        <v>August</v>
      </c>
      <c r="F3">
        <f>YEAR(B3)</f>
        <v>2024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>
        <v>3</v>
      </c>
      <c r="R3">
        <v>2437.5</v>
      </c>
      <c r="S3">
        <v>0</v>
      </c>
      <c r="T3" s="12">
        <f>S3</f>
        <v>0</v>
      </c>
      <c r="U3">
        <v>7312.5</v>
      </c>
      <c r="V3">
        <f>Q3*R3*(1-S3)</f>
        <v>7312.5</v>
      </c>
      <c r="W3">
        <v>4904.7299999999996</v>
      </c>
      <c r="X3">
        <v>2407.77</v>
      </c>
      <c r="Y3">
        <f>V3-W3</f>
        <v>2407.7700000000004</v>
      </c>
      <c r="Z3" s="12">
        <f>Y3/V3</f>
        <v>0.32926769230769237</v>
      </c>
      <c r="AA3" t="s">
        <v>32</v>
      </c>
      <c r="AB3" t="s">
        <v>33</v>
      </c>
      <c r="AC3" s="14" t="s">
        <v>2794</v>
      </c>
      <c r="AD3" t="s">
        <v>2782</v>
      </c>
      <c r="AE3" t="str">
        <f>PROPER(TRIM(AB3))</f>
        <v>Completed</v>
      </c>
      <c r="AS3" t="str">
        <f t="shared" ref="AS3:AS66" si="2">PROPER(TRIM(AD3))</f>
        <v/>
      </c>
    </row>
    <row r="4" spans="1:45">
      <c r="A4" t="s">
        <v>45</v>
      </c>
      <c r="B4" s="7">
        <v>45510</v>
      </c>
      <c r="C4" s="4">
        <v>45458</v>
      </c>
      <c r="D4" s="10">
        <f>C4-B4</f>
        <v>-52</v>
      </c>
      <c r="E4" t="str">
        <f>TEXT(B4,"mmmm")</f>
        <v>August</v>
      </c>
      <c r="F4">
        <f>YEAR(B4)</f>
        <v>2024</v>
      </c>
      <c r="G4" t="s">
        <v>46</v>
      </c>
      <c r="H4" t="s">
        <v>47</v>
      </c>
      <c r="I4" t="s">
        <v>24</v>
      </c>
      <c r="J4" t="s">
        <v>38</v>
      </c>
      <c r="K4" t="s">
        <v>39</v>
      </c>
      <c r="L4" t="s">
        <v>40</v>
      </c>
      <c r="M4" t="s">
        <v>28</v>
      </c>
      <c r="N4" t="s">
        <v>48</v>
      </c>
      <c r="O4" t="s">
        <v>49</v>
      </c>
      <c r="P4" t="s">
        <v>50</v>
      </c>
      <c r="Q4">
        <v>4</v>
      </c>
      <c r="R4">
        <v>1065.43</v>
      </c>
      <c r="S4">
        <v>0.55000000000000004</v>
      </c>
      <c r="T4" s="12">
        <f>S4</f>
        <v>0.55000000000000004</v>
      </c>
      <c r="U4">
        <v>4261.72</v>
      </c>
      <c r="V4">
        <f>Q4*R4*(1-S4)</f>
        <v>1917.7739999999999</v>
      </c>
      <c r="W4">
        <v>2465.69</v>
      </c>
      <c r="X4">
        <v>1796.03</v>
      </c>
      <c r="Y4">
        <f>V4-W4</f>
        <v>-547.91600000000017</v>
      </c>
      <c r="Z4" s="12">
        <f>Y4/V4</f>
        <v>-0.28570415492127865</v>
      </c>
      <c r="AA4" t="s">
        <v>32</v>
      </c>
      <c r="AB4" t="s">
        <v>33</v>
      </c>
      <c r="AC4" s="10" t="s">
        <v>2792</v>
      </c>
      <c r="AD4" t="s">
        <v>2782</v>
      </c>
      <c r="AE4" t="str">
        <f>PROPER(TRIM(AB4))</f>
        <v>Completed</v>
      </c>
      <c r="AS4" t="str">
        <f t="shared" si="2"/>
        <v/>
      </c>
    </row>
    <row r="5" spans="1:45">
      <c r="A5" t="s">
        <v>51</v>
      </c>
      <c r="B5" s="7">
        <v>45624</v>
      </c>
      <c r="C5" s="4">
        <v>45625</v>
      </c>
      <c r="D5">
        <f>C5-B5</f>
        <v>1</v>
      </c>
      <c r="E5" t="str">
        <f>TEXT(B5,"mmmm")</f>
        <v>November</v>
      </c>
      <c r="F5">
        <f>YEAR(B5)</f>
        <v>2024</v>
      </c>
      <c r="G5" t="s">
        <v>52</v>
      </c>
      <c r="H5" t="s">
        <v>53</v>
      </c>
      <c r="I5" t="s">
        <v>37</v>
      </c>
      <c r="J5" t="s">
        <v>54</v>
      </c>
      <c r="K5" t="s">
        <v>55</v>
      </c>
      <c r="L5" t="s">
        <v>56</v>
      </c>
      <c r="M5" t="s">
        <v>41</v>
      </c>
      <c r="N5" t="s">
        <v>57</v>
      </c>
      <c r="O5" t="s">
        <v>58</v>
      </c>
      <c r="P5" t="s">
        <v>59</v>
      </c>
      <c r="Q5">
        <v>6</v>
      </c>
      <c r="R5">
        <v>1848.43</v>
      </c>
      <c r="S5">
        <v>0.25</v>
      </c>
      <c r="T5" s="12">
        <f>S5</f>
        <v>0.25</v>
      </c>
      <c r="U5">
        <v>8317.93</v>
      </c>
      <c r="V5">
        <f>Q5*R5*(1-S5)</f>
        <v>8317.9349999999995</v>
      </c>
      <c r="W5">
        <v>6796.77</v>
      </c>
      <c r="X5">
        <v>1521.16</v>
      </c>
      <c r="Y5">
        <f>V5-W5</f>
        <v>1521.1649999999991</v>
      </c>
      <c r="Z5" s="12">
        <f>Y5/V5</f>
        <v>0.18287772145370204</v>
      </c>
      <c r="AA5" t="s">
        <v>32</v>
      </c>
      <c r="AB5" t="s">
        <v>33</v>
      </c>
      <c r="AC5" s="14" t="s">
        <v>2794</v>
      </c>
      <c r="AD5" t="s">
        <v>2782</v>
      </c>
      <c r="AE5" t="str">
        <f>PROPER(TRIM(AB5))</f>
        <v>Completed</v>
      </c>
      <c r="AS5" t="str">
        <f t="shared" si="2"/>
        <v/>
      </c>
    </row>
    <row r="6" spans="1:45">
      <c r="A6" t="s">
        <v>60</v>
      </c>
      <c r="B6" s="7">
        <v>45898</v>
      </c>
      <c r="C6" s="4">
        <v>45901</v>
      </c>
      <c r="D6">
        <f>C6-B6</f>
        <v>3</v>
      </c>
      <c r="E6" t="str">
        <f>TEXT(B6,"mmmm")</f>
        <v>August</v>
      </c>
      <c r="F6">
        <f>YEAR(B6)</f>
        <v>2025</v>
      </c>
      <c r="G6" t="s">
        <v>61</v>
      </c>
      <c r="H6" t="s">
        <v>62</v>
      </c>
      <c r="I6" t="s">
        <v>37</v>
      </c>
      <c r="J6" t="s">
        <v>63</v>
      </c>
      <c r="K6" t="s">
        <v>64</v>
      </c>
      <c r="L6" t="s">
        <v>65</v>
      </c>
      <c r="M6" t="s">
        <v>41</v>
      </c>
      <c r="N6" t="s">
        <v>66</v>
      </c>
      <c r="O6" t="s">
        <v>67</v>
      </c>
      <c r="P6" t="s">
        <v>50</v>
      </c>
      <c r="Q6">
        <v>7</v>
      </c>
      <c r="R6">
        <v>2973.76</v>
      </c>
      <c r="S6">
        <v>0</v>
      </c>
      <c r="T6" s="12">
        <f>S6</f>
        <v>0</v>
      </c>
      <c r="U6">
        <v>20816.32</v>
      </c>
      <c r="V6">
        <f>Q6*R6*(1-S6)</f>
        <v>20816.32</v>
      </c>
      <c r="W6">
        <v>17705.37</v>
      </c>
      <c r="X6">
        <v>3110.95</v>
      </c>
      <c r="Y6">
        <f>V6-W6</f>
        <v>3110.9500000000007</v>
      </c>
      <c r="Z6" s="12">
        <f>Y6/V6</f>
        <v>0.14944764492475138</v>
      </c>
      <c r="AA6" t="s">
        <v>32</v>
      </c>
      <c r="AB6" t="s">
        <v>68</v>
      </c>
      <c r="AC6" s="14" t="s">
        <v>2794</v>
      </c>
      <c r="AD6" t="s">
        <v>2782</v>
      </c>
      <c r="AE6" t="str">
        <f>PROPER(TRIM(AB6))</f>
        <v>Cancelled</v>
      </c>
      <c r="AS6" t="str">
        <f t="shared" si="2"/>
        <v/>
      </c>
    </row>
    <row r="7" spans="1:45">
      <c r="A7" t="s">
        <v>69</v>
      </c>
      <c r="B7" s="7">
        <v>45436</v>
      </c>
      <c r="C7" s="4">
        <v>45440</v>
      </c>
      <c r="D7">
        <f>C7-B7</f>
        <v>4</v>
      </c>
      <c r="E7" t="str">
        <f>TEXT(B7,"mmmm")</f>
        <v>May</v>
      </c>
      <c r="F7">
        <f>YEAR(B7)</f>
        <v>2024</v>
      </c>
      <c r="G7" t="s">
        <v>70</v>
      </c>
      <c r="H7" t="s">
        <v>71</v>
      </c>
      <c r="I7" t="s">
        <v>37</v>
      </c>
      <c r="J7" t="s">
        <v>63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44</v>
      </c>
      <c r="Q7">
        <v>3</v>
      </c>
      <c r="R7">
        <v>1053.1099999999999</v>
      </c>
      <c r="S7">
        <v>0.2</v>
      </c>
      <c r="T7" s="12">
        <f>S7</f>
        <v>0.2</v>
      </c>
      <c r="U7">
        <v>2527.46</v>
      </c>
      <c r="V7">
        <f>Q7*R7*(1-S7)</f>
        <v>2527.4639999999999</v>
      </c>
      <c r="W7">
        <v>1533.58</v>
      </c>
      <c r="X7">
        <v>993.88</v>
      </c>
      <c r="Y7">
        <f>V7-W7</f>
        <v>993.88400000000001</v>
      </c>
      <c r="Z7" s="12">
        <f>Y7/V7</f>
        <v>0.39323369195367375</v>
      </c>
      <c r="AA7" t="s">
        <v>32</v>
      </c>
      <c r="AB7" t="s">
        <v>33</v>
      </c>
      <c r="AC7" s="14" t="s">
        <v>2794</v>
      </c>
      <c r="AD7" t="s">
        <v>2782</v>
      </c>
      <c r="AE7" t="str">
        <f>PROPER(TRIM(AB7))</f>
        <v>Completed</v>
      </c>
      <c r="AS7" t="str">
        <f t="shared" si="2"/>
        <v/>
      </c>
    </row>
    <row r="8" spans="1:45">
      <c r="A8" t="s">
        <v>77</v>
      </c>
      <c r="B8" s="7">
        <v>45934</v>
      </c>
      <c r="C8" s="4">
        <v>45763</v>
      </c>
      <c r="D8" s="10">
        <f>C8-B8</f>
        <v>-171</v>
      </c>
      <c r="E8" t="str">
        <f>TEXT(B8,"mmmm")</f>
        <v>October</v>
      </c>
      <c r="F8">
        <f>YEAR(B8)</f>
        <v>2025</v>
      </c>
      <c r="G8" t="s">
        <v>78</v>
      </c>
      <c r="H8" t="s">
        <v>79</v>
      </c>
      <c r="I8" t="s">
        <v>24</v>
      </c>
      <c r="J8" t="s">
        <v>38</v>
      </c>
      <c r="K8" t="s">
        <v>39</v>
      </c>
      <c r="L8" t="s">
        <v>40</v>
      </c>
      <c r="M8" t="s">
        <v>74</v>
      </c>
      <c r="N8" t="s">
        <v>80</v>
      </c>
      <c r="O8" t="s">
        <v>81</v>
      </c>
      <c r="P8" t="s">
        <v>59</v>
      </c>
      <c r="Q8">
        <v>4</v>
      </c>
      <c r="R8">
        <v>1719.87</v>
      </c>
      <c r="S8">
        <v>0.15</v>
      </c>
      <c r="T8" s="12">
        <f>S8</f>
        <v>0.15</v>
      </c>
      <c r="U8">
        <v>5847.56</v>
      </c>
      <c r="V8">
        <f>Q8*R8*(1-S8)</f>
        <v>5847.5579999999991</v>
      </c>
      <c r="W8">
        <v>4727.25</v>
      </c>
      <c r="X8">
        <v>1120.31</v>
      </c>
      <c r="Y8">
        <f>V8-W8</f>
        <v>1120.3079999999991</v>
      </c>
      <c r="Z8" s="12">
        <f>Y8/V8</f>
        <v>0.19158561573908275</v>
      </c>
      <c r="AA8" t="s">
        <v>32</v>
      </c>
      <c r="AB8" t="s">
        <v>33</v>
      </c>
      <c r="AC8" s="10" t="s">
        <v>2792</v>
      </c>
      <c r="AD8" t="s">
        <v>2782</v>
      </c>
      <c r="AE8" t="str">
        <f>PROPER(TRIM(AB8))</f>
        <v>Completed</v>
      </c>
      <c r="AS8" t="str">
        <f t="shared" si="2"/>
        <v/>
      </c>
    </row>
    <row r="9" spans="1:45">
      <c r="A9" t="s">
        <v>82</v>
      </c>
      <c r="B9" s="7">
        <v>45711</v>
      </c>
      <c r="C9" s="4">
        <v>45714</v>
      </c>
      <c r="D9">
        <f>C9-B9</f>
        <v>3</v>
      </c>
      <c r="E9" t="str">
        <f>TEXT(B9,"mmmm")</f>
        <v>February</v>
      </c>
      <c r="F9">
        <f>YEAR(B9)</f>
        <v>2025</v>
      </c>
      <c r="G9" t="s">
        <v>83</v>
      </c>
      <c r="H9" t="s">
        <v>47</v>
      </c>
      <c r="I9" t="s">
        <v>37</v>
      </c>
      <c r="J9" t="s">
        <v>54</v>
      </c>
      <c r="K9" t="s">
        <v>84</v>
      </c>
      <c r="L9" t="s">
        <v>85</v>
      </c>
      <c r="M9" t="s">
        <v>28</v>
      </c>
      <c r="N9" t="s">
        <v>48</v>
      </c>
      <c r="O9" t="s">
        <v>86</v>
      </c>
      <c r="P9" t="s">
        <v>50</v>
      </c>
      <c r="Q9">
        <v>1</v>
      </c>
      <c r="R9">
        <v>2980.71</v>
      </c>
      <c r="S9">
        <v>0</v>
      </c>
      <c r="T9" s="12">
        <f>S9</f>
        <v>0</v>
      </c>
      <c r="U9">
        <v>2980.71</v>
      </c>
      <c r="V9">
        <f>Q9*R9*(1-S9)</f>
        <v>2980.71</v>
      </c>
      <c r="W9">
        <v>2357.2199999999998</v>
      </c>
      <c r="X9">
        <v>623.49</v>
      </c>
      <c r="Y9">
        <f>V9-W9</f>
        <v>623.49000000000024</v>
      </c>
      <c r="Z9" s="12">
        <f>Y9/V9</f>
        <v>0.20917499521925992</v>
      </c>
      <c r="AA9" t="s">
        <v>32</v>
      </c>
      <c r="AB9" t="s">
        <v>33</v>
      </c>
      <c r="AC9" s="14" t="s">
        <v>2794</v>
      </c>
      <c r="AD9" t="s">
        <v>2782</v>
      </c>
      <c r="AE9" t="str">
        <f>PROPER(TRIM(AB9))</f>
        <v>Completed</v>
      </c>
      <c r="AS9" t="str">
        <f t="shared" si="2"/>
        <v/>
      </c>
    </row>
    <row r="10" spans="1:45">
      <c r="A10" t="s">
        <v>87</v>
      </c>
      <c r="B10" s="7">
        <v>45423</v>
      </c>
      <c r="C10" s="4">
        <v>45576</v>
      </c>
      <c r="D10">
        <f>C10-B10</f>
        <v>153</v>
      </c>
      <c r="E10" t="str">
        <f>TEXT(B10,"mmmm")</f>
        <v>May</v>
      </c>
      <c r="F10">
        <f>YEAR(B10)</f>
        <v>2024</v>
      </c>
      <c r="G10" t="s">
        <v>88</v>
      </c>
      <c r="H10" t="s">
        <v>89</v>
      </c>
      <c r="I10" t="s">
        <v>90</v>
      </c>
      <c r="J10" t="s">
        <v>54</v>
      </c>
      <c r="K10" t="s">
        <v>55</v>
      </c>
      <c r="L10" t="s">
        <v>56</v>
      </c>
      <c r="M10" t="s">
        <v>28</v>
      </c>
      <c r="N10" t="s">
        <v>91</v>
      </c>
      <c r="O10" t="s">
        <v>92</v>
      </c>
      <c r="P10" t="s">
        <v>50</v>
      </c>
      <c r="Q10">
        <v>8</v>
      </c>
      <c r="R10">
        <v>3134.2</v>
      </c>
      <c r="S10">
        <v>0</v>
      </c>
      <c r="T10" s="12">
        <f>S10</f>
        <v>0</v>
      </c>
      <c r="U10">
        <v>25073.599999999999</v>
      </c>
      <c r="V10">
        <f>Q10*R10*(1-S10)</f>
        <v>25073.599999999999</v>
      </c>
      <c r="W10">
        <v>17347.23</v>
      </c>
      <c r="X10">
        <v>7726.37</v>
      </c>
      <c r="Y10">
        <f>V10-W10</f>
        <v>7726.369999999999</v>
      </c>
      <c r="Z10" s="12">
        <f>Y10/V10</f>
        <v>0.30814761342607361</v>
      </c>
      <c r="AA10" t="s">
        <v>32</v>
      </c>
      <c r="AB10" t="s">
        <v>33</v>
      </c>
      <c r="AC10" s="14" t="s">
        <v>2794</v>
      </c>
      <c r="AD10" t="s">
        <v>2782</v>
      </c>
      <c r="AE10" t="str">
        <f>PROPER(TRIM(AB10))</f>
        <v>Completed</v>
      </c>
      <c r="AS10" t="str">
        <f t="shared" si="2"/>
        <v/>
      </c>
    </row>
    <row r="11" spans="1:45">
      <c r="A11" t="s">
        <v>93</v>
      </c>
      <c r="B11" s="7">
        <v>45907</v>
      </c>
      <c r="C11" s="4">
        <v>46000</v>
      </c>
      <c r="D11">
        <f>C11-B11</f>
        <v>93</v>
      </c>
      <c r="E11" t="str">
        <f>TEXT(B11,"mmmm")</f>
        <v>September</v>
      </c>
      <c r="F11">
        <f>YEAR(B11)</f>
        <v>2025</v>
      </c>
      <c r="G11" t="s">
        <v>94</v>
      </c>
      <c r="H11" t="s">
        <v>36</v>
      </c>
      <c r="I11" t="s">
        <v>95</v>
      </c>
      <c r="J11" t="s">
        <v>54</v>
      </c>
      <c r="K11" t="s">
        <v>55</v>
      </c>
      <c r="L11" t="s">
        <v>56</v>
      </c>
      <c r="M11" t="s">
        <v>28</v>
      </c>
      <c r="N11" t="s">
        <v>29</v>
      </c>
      <c r="O11" t="s">
        <v>96</v>
      </c>
      <c r="P11" t="s">
        <v>31</v>
      </c>
      <c r="Q11">
        <v>9</v>
      </c>
      <c r="R11">
        <v>852.04</v>
      </c>
      <c r="S11">
        <v>0.2</v>
      </c>
      <c r="T11" s="12">
        <f>S11</f>
        <v>0.2</v>
      </c>
      <c r="U11">
        <v>6134.69</v>
      </c>
      <c r="V11">
        <f>Q11*R11*(1-S11)</f>
        <v>6134.6880000000001</v>
      </c>
      <c r="W11">
        <v>3800.19</v>
      </c>
      <c r="X11">
        <v>2334.5</v>
      </c>
      <c r="Y11">
        <f>V11-W11</f>
        <v>2334.498</v>
      </c>
      <c r="Z11" s="12">
        <f>Y11/V11</f>
        <v>0.38054062407085737</v>
      </c>
      <c r="AA11" t="s">
        <v>32</v>
      </c>
      <c r="AB11" t="s">
        <v>33</v>
      </c>
      <c r="AC11" s="14" t="s">
        <v>2794</v>
      </c>
      <c r="AD11" t="s">
        <v>2782</v>
      </c>
      <c r="AE11" t="str">
        <f>PROPER(TRIM(AB11))</f>
        <v>Completed</v>
      </c>
      <c r="AS11" t="str">
        <f t="shared" si="2"/>
        <v/>
      </c>
    </row>
    <row r="12" spans="1:45">
      <c r="A12" t="s">
        <v>97</v>
      </c>
      <c r="B12" s="7">
        <v>45797</v>
      </c>
      <c r="C12" s="4">
        <v>45797</v>
      </c>
      <c r="D12">
        <f>C12-B12</f>
        <v>0</v>
      </c>
      <c r="E12" t="str">
        <f>TEXT(B12,"mmmm")</f>
        <v>May</v>
      </c>
      <c r="F12">
        <f>YEAR(B12)</f>
        <v>2025</v>
      </c>
      <c r="G12" t="s">
        <v>98</v>
      </c>
      <c r="H12" t="s">
        <v>62</v>
      </c>
      <c r="I12" t="s">
        <v>90</v>
      </c>
      <c r="J12" t="s">
        <v>38</v>
      </c>
      <c r="K12" t="s">
        <v>99</v>
      </c>
      <c r="L12" t="s">
        <v>100</v>
      </c>
      <c r="M12" t="s">
        <v>28</v>
      </c>
      <c r="N12" t="s">
        <v>91</v>
      </c>
      <c r="O12" t="s">
        <v>101</v>
      </c>
      <c r="P12" t="s">
        <v>31</v>
      </c>
      <c r="Q12">
        <v>3</v>
      </c>
      <c r="R12">
        <v>3534.83</v>
      </c>
      <c r="S12">
        <v>0.05</v>
      </c>
      <c r="T12" s="12">
        <f>S12</f>
        <v>0.05</v>
      </c>
      <c r="U12">
        <v>10074.27</v>
      </c>
      <c r="V12">
        <f>Q12*R12*(1-S12)</f>
        <v>10074.2655</v>
      </c>
      <c r="W12">
        <v>6048.27</v>
      </c>
      <c r="X12">
        <v>4026</v>
      </c>
      <c r="Y12">
        <f>V12-W12</f>
        <v>4025.9954999999991</v>
      </c>
      <c r="Z12" s="12">
        <f>Y12/V12</f>
        <v>0.39963166545491574</v>
      </c>
      <c r="AA12" t="s">
        <v>102</v>
      </c>
      <c r="AB12" t="s">
        <v>103</v>
      </c>
      <c r="AC12" s="14" t="s">
        <v>2794</v>
      </c>
      <c r="AD12" t="s">
        <v>2782</v>
      </c>
      <c r="AE12" t="str">
        <f>PROPER(TRIM(AB12))</f>
        <v>Returned</v>
      </c>
      <c r="AS12" t="str">
        <f t="shared" si="2"/>
        <v/>
      </c>
    </row>
    <row r="13" spans="1:45">
      <c r="A13" t="s">
        <v>104</v>
      </c>
      <c r="B13" s="7">
        <v>45495</v>
      </c>
      <c r="C13" s="4">
        <v>45496</v>
      </c>
      <c r="D13">
        <f>C13-B13</f>
        <v>1</v>
      </c>
      <c r="E13" t="str">
        <f>TEXT(B13,"mmmm")</f>
        <v>July</v>
      </c>
      <c r="F13">
        <f>YEAR(B13)</f>
        <v>2024</v>
      </c>
      <c r="G13" t="s">
        <v>105</v>
      </c>
      <c r="H13" t="s">
        <v>71</v>
      </c>
      <c r="I13" t="s">
        <v>37</v>
      </c>
      <c r="J13" t="s">
        <v>38</v>
      </c>
      <c r="K13" t="s">
        <v>39</v>
      </c>
      <c r="L13" t="s">
        <v>40</v>
      </c>
      <c r="M13" t="s">
        <v>74</v>
      </c>
      <c r="N13" t="s">
        <v>75</v>
      </c>
      <c r="O13" t="s">
        <v>106</v>
      </c>
      <c r="P13" t="s">
        <v>44</v>
      </c>
      <c r="Q13">
        <v>6</v>
      </c>
      <c r="R13">
        <v>2005.95</v>
      </c>
      <c r="S13">
        <v>0.2</v>
      </c>
      <c r="T13" s="12">
        <f>S13</f>
        <v>0.2</v>
      </c>
      <c r="U13">
        <v>9628.56</v>
      </c>
      <c r="V13">
        <f>Q13*R13*(1-S13)</f>
        <v>9628.5600000000013</v>
      </c>
      <c r="W13">
        <v>8038.59</v>
      </c>
      <c r="X13">
        <v>1589.97</v>
      </c>
      <c r="Y13">
        <f>V13-W13</f>
        <v>1589.9700000000012</v>
      </c>
      <c r="Z13" s="12">
        <f>Y13/V13</f>
        <v>0.16513061143099289</v>
      </c>
      <c r="AA13" t="s">
        <v>32</v>
      </c>
      <c r="AB13" t="s">
        <v>33</v>
      </c>
      <c r="AC13" s="14" t="s">
        <v>2794</v>
      </c>
      <c r="AD13" t="s">
        <v>2782</v>
      </c>
      <c r="AE13" t="str">
        <f>PROPER(TRIM(AB13))</f>
        <v>Completed</v>
      </c>
      <c r="AS13" t="str">
        <f t="shared" si="2"/>
        <v/>
      </c>
    </row>
    <row r="14" spans="1:45">
      <c r="A14" t="s">
        <v>107</v>
      </c>
      <c r="B14" s="7">
        <v>45646</v>
      </c>
      <c r="C14" s="4">
        <v>45647</v>
      </c>
      <c r="D14">
        <f>C14-B14</f>
        <v>1</v>
      </c>
      <c r="E14" t="str">
        <f>TEXT(B14,"mmmm")</f>
        <v>December</v>
      </c>
      <c r="F14">
        <f>YEAR(B14)</f>
        <v>2024</v>
      </c>
      <c r="G14" t="s">
        <v>108</v>
      </c>
      <c r="H14" t="s">
        <v>62</v>
      </c>
      <c r="I14" t="s">
        <v>90</v>
      </c>
      <c r="J14" t="s">
        <v>63</v>
      </c>
      <c r="K14" t="s">
        <v>26</v>
      </c>
      <c r="L14" t="s">
        <v>109</v>
      </c>
      <c r="M14" t="s">
        <v>28</v>
      </c>
      <c r="N14" t="s">
        <v>29</v>
      </c>
      <c r="O14" t="s">
        <v>110</v>
      </c>
      <c r="P14" t="s">
        <v>50</v>
      </c>
      <c r="Q14">
        <v>1</v>
      </c>
      <c r="R14">
        <v>702.14</v>
      </c>
      <c r="S14">
        <v>0.15</v>
      </c>
      <c r="T14" s="12">
        <f>S14</f>
        <v>0.15</v>
      </c>
      <c r="U14">
        <v>596.82000000000005</v>
      </c>
      <c r="V14">
        <f>Q14*R14*(1-S14)</f>
        <v>596.81899999999996</v>
      </c>
      <c r="W14">
        <v>380.25</v>
      </c>
      <c r="X14">
        <v>216.57</v>
      </c>
      <c r="Y14">
        <f>V14-W14</f>
        <v>216.56899999999996</v>
      </c>
      <c r="Z14" s="12">
        <f>Y14/V14</f>
        <v>0.36287216057129545</v>
      </c>
      <c r="AA14" t="s">
        <v>111</v>
      </c>
      <c r="AB14" t="s">
        <v>103</v>
      </c>
      <c r="AC14" s="14" t="s">
        <v>2794</v>
      </c>
      <c r="AD14" t="s">
        <v>2782</v>
      </c>
      <c r="AE14" t="str">
        <f>PROPER(TRIM(AB14))</f>
        <v>Returned</v>
      </c>
      <c r="AS14" t="str">
        <f t="shared" si="2"/>
        <v/>
      </c>
    </row>
    <row r="15" spans="1:45">
      <c r="A15" t="s">
        <v>112</v>
      </c>
      <c r="B15" s="7">
        <v>45942</v>
      </c>
      <c r="C15" s="4">
        <v>45946</v>
      </c>
      <c r="D15">
        <f>C15-B15</f>
        <v>4</v>
      </c>
      <c r="E15" t="str">
        <f>TEXT(B15,"mmmm")</f>
        <v>October</v>
      </c>
      <c r="F15">
        <f>YEAR(B15)</f>
        <v>2025</v>
      </c>
      <c r="G15" t="s">
        <v>113</v>
      </c>
      <c r="H15" t="s">
        <v>114</v>
      </c>
      <c r="I15" t="s">
        <v>37</v>
      </c>
      <c r="J15" t="s">
        <v>63</v>
      </c>
      <c r="K15" t="s">
        <v>64</v>
      </c>
      <c r="L15" t="s">
        <v>65</v>
      </c>
      <c r="M15" t="s">
        <v>28</v>
      </c>
      <c r="N15" t="s">
        <v>48</v>
      </c>
      <c r="O15" t="s">
        <v>115</v>
      </c>
      <c r="P15" t="s">
        <v>31</v>
      </c>
      <c r="Q15">
        <v>7</v>
      </c>
      <c r="R15">
        <v>3964.72</v>
      </c>
      <c r="S15">
        <v>0.05</v>
      </c>
      <c r="T15" s="12">
        <f>S15</f>
        <v>0.05</v>
      </c>
      <c r="U15">
        <v>26365.39</v>
      </c>
      <c r="V15">
        <f>Q15*R15*(1-S15)</f>
        <v>26365.387999999995</v>
      </c>
      <c r="W15">
        <v>22306.240000000002</v>
      </c>
      <c r="X15">
        <v>4059.15</v>
      </c>
      <c r="Y15">
        <f>V15-W15</f>
        <v>4059.1479999999938</v>
      </c>
      <c r="Z15" s="12">
        <f>Y15/V15</f>
        <v>0.15395745361304733</v>
      </c>
      <c r="AA15" t="s">
        <v>32</v>
      </c>
      <c r="AB15" t="s">
        <v>33</v>
      </c>
      <c r="AC15" s="14" t="s">
        <v>2794</v>
      </c>
      <c r="AD15" t="s">
        <v>2782</v>
      </c>
      <c r="AE15" t="str">
        <f>PROPER(TRIM(AB15))</f>
        <v>Completed</v>
      </c>
      <c r="AS15" t="str">
        <f t="shared" si="2"/>
        <v/>
      </c>
    </row>
    <row r="16" spans="1:45">
      <c r="A16" t="s">
        <v>116</v>
      </c>
      <c r="B16" s="7">
        <v>45653</v>
      </c>
      <c r="C16" s="4">
        <v>45654</v>
      </c>
      <c r="D16">
        <f>C16-B16</f>
        <v>1</v>
      </c>
      <c r="E16" t="str">
        <f>TEXT(B16,"mmmm")</f>
        <v>December</v>
      </c>
      <c r="F16">
        <f>YEAR(B16)</f>
        <v>2024</v>
      </c>
      <c r="G16" t="s">
        <v>117</v>
      </c>
      <c r="H16" t="s">
        <v>118</v>
      </c>
      <c r="I16" t="s">
        <v>24</v>
      </c>
      <c r="J16" t="s">
        <v>63</v>
      </c>
      <c r="K16" t="s">
        <v>26</v>
      </c>
      <c r="L16" t="s">
        <v>109</v>
      </c>
      <c r="M16" t="s">
        <v>74</v>
      </c>
      <c r="N16" t="s">
        <v>80</v>
      </c>
      <c r="O16" t="s">
        <v>119</v>
      </c>
      <c r="P16" t="s">
        <v>59</v>
      </c>
      <c r="Q16">
        <v>2</v>
      </c>
      <c r="R16">
        <v>2737.83</v>
      </c>
      <c r="S16">
        <v>0.25</v>
      </c>
      <c r="T16" s="12">
        <f>S16</f>
        <v>0.25</v>
      </c>
      <c r="U16">
        <v>4106.74</v>
      </c>
      <c r="V16">
        <f>Q16*R16*(1-S16)</f>
        <v>4106.7449999999999</v>
      </c>
      <c r="W16">
        <v>2666.3</v>
      </c>
      <c r="X16">
        <v>1440.44</v>
      </c>
      <c r="Y16">
        <f>V16-W16</f>
        <v>1440.4449999999997</v>
      </c>
      <c r="Z16" s="12">
        <f>Y16/V16</f>
        <v>0.35075102057712365</v>
      </c>
      <c r="AA16" t="s">
        <v>32</v>
      </c>
      <c r="AB16" t="s">
        <v>33</v>
      </c>
      <c r="AC16" s="14" t="s">
        <v>2794</v>
      </c>
      <c r="AD16" t="s">
        <v>2782</v>
      </c>
      <c r="AE16" t="str">
        <f>PROPER(TRIM(AB16))</f>
        <v>Completed</v>
      </c>
      <c r="AS16" t="str">
        <f t="shared" si="2"/>
        <v/>
      </c>
    </row>
    <row r="17" spans="1:45">
      <c r="A17" t="s">
        <v>120</v>
      </c>
      <c r="B17" s="7">
        <v>45542</v>
      </c>
      <c r="C17" s="4">
        <v>45482</v>
      </c>
      <c r="D17" s="10">
        <f>C17-B17</f>
        <v>-60</v>
      </c>
      <c r="E17" t="str">
        <f>TEXT(B17,"mmmm")</f>
        <v>September</v>
      </c>
      <c r="F17">
        <f>YEAR(B17)</f>
        <v>2024</v>
      </c>
      <c r="G17" t="s">
        <v>121</v>
      </c>
      <c r="H17" t="s">
        <v>23</v>
      </c>
      <c r="I17" t="s">
        <v>37</v>
      </c>
      <c r="J17" t="s">
        <v>25</v>
      </c>
      <c r="K17" t="s">
        <v>122</v>
      </c>
      <c r="L17" t="s">
        <v>123</v>
      </c>
      <c r="M17" t="s">
        <v>28</v>
      </c>
      <c r="N17" t="s">
        <v>124</v>
      </c>
      <c r="O17" t="s">
        <v>125</v>
      </c>
      <c r="P17" t="s">
        <v>31</v>
      </c>
      <c r="Q17">
        <v>6</v>
      </c>
      <c r="R17">
        <v>3965.76</v>
      </c>
      <c r="S17">
        <v>0</v>
      </c>
      <c r="T17" s="12">
        <f>S17</f>
        <v>0</v>
      </c>
      <c r="U17">
        <v>23794.560000000001</v>
      </c>
      <c r="V17">
        <f>Q17*R17*(1-S17)</f>
        <v>23794.560000000001</v>
      </c>
      <c r="W17">
        <v>15698.47</v>
      </c>
      <c r="X17">
        <v>8096.09</v>
      </c>
      <c r="Y17">
        <f>V17-W17</f>
        <v>8096.090000000002</v>
      </c>
      <c r="Z17" s="12">
        <f>Y17/V17</f>
        <v>0.34024962008122872</v>
      </c>
      <c r="AA17" t="s">
        <v>32</v>
      </c>
      <c r="AB17" t="s">
        <v>33</v>
      </c>
      <c r="AC17" s="10" t="s">
        <v>2792</v>
      </c>
      <c r="AD17" t="s">
        <v>2782</v>
      </c>
      <c r="AE17" t="str">
        <f>PROPER(TRIM(AB17))</f>
        <v>Completed</v>
      </c>
      <c r="AS17" t="str">
        <f t="shared" si="2"/>
        <v/>
      </c>
    </row>
    <row r="18" spans="1:45">
      <c r="A18" t="s">
        <v>126</v>
      </c>
      <c r="B18" s="7">
        <v>45509</v>
      </c>
      <c r="C18" s="4">
        <v>45427</v>
      </c>
      <c r="D18" s="10">
        <f>C18-B18</f>
        <v>-82</v>
      </c>
      <c r="E18" t="str">
        <f>TEXT(B18,"mmmm")</f>
        <v>August</v>
      </c>
      <c r="F18">
        <f>YEAR(B18)</f>
        <v>2024</v>
      </c>
      <c r="G18" t="s">
        <v>127</v>
      </c>
      <c r="H18" t="s">
        <v>128</v>
      </c>
      <c r="I18" t="s">
        <v>24</v>
      </c>
      <c r="J18" t="s">
        <v>54</v>
      </c>
      <c r="K18" t="s">
        <v>55</v>
      </c>
      <c r="L18" t="s">
        <v>56</v>
      </c>
      <c r="M18" t="s">
        <v>28</v>
      </c>
      <c r="N18" t="s">
        <v>48</v>
      </c>
      <c r="O18" t="s">
        <v>129</v>
      </c>
      <c r="P18" t="s">
        <v>50</v>
      </c>
      <c r="Q18">
        <v>4</v>
      </c>
      <c r="R18">
        <v>3323.51</v>
      </c>
      <c r="S18">
        <v>0.25</v>
      </c>
      <c r="T18" s="12">
        <f>S18</f>
        <v>0.25</v>
      </c>
      <c r="U18">
        <v>9970.5300000000007</v>
      </c>
      <c r="V18">
        <f>Q18*R18*(1-S18)</f>
        <v>9970.5300000000007</v>
      </c>
      <c r="W18">
        <v>5668.17</v>
      </c>
      <c r="X18">
        <v>4302.3599999999997</v>
      </c>
      <c r="Y18">
        <f>V18-W18</f>
        <v>4302.3600000000006</v>
      </c>
      <c r="Z18" s="12">
        <f>Y18/V18</f>
        <v>0.43150765305354882</v>
      </c>
      <c r="AA18" t="s">
        <v>32</v>
      </c>
      <c r="AB18" t="s">
        <v>33</v>
      </c>
      <c r="AC18" s="10" t="s">
        <v>2792</v>
      </c>
      <c r="AD18" t="s">
        <v>2782</v>
      </c>
      <c r="AE18" t="str">
        <f>PROPER(TRIM(AB18))</f>
        <v>Completed</v>
      </c>
      <c r="AS18" t="str">
        <f t="shared" si="2"/>
        <v/>
      </c>
    </row>
    <row r="19" spans="1:45">
      <c r="A19" t="s">
        <v>130</v>
      </c>
      <c r="B19" s="7">
        <v>45474</v>
      </c>
      <c r="C19" s="4">
        <v>45299</v>
      </c>
      <c r="D19" s="10">
        <f>C19-B19</f>
        <v>-175</v>
      </c>
      <c r="E19" t="str">
        <f>TEXT(B19,"mmmm")</f>
        <v>July</v>
      </c>
      <c r="F19">
        <f>YEAR(B19)</f>
        <v>2024</v>
      </c>
      <c r="G19" t="s">
        <v>131</v>
      </c>
      <c r="H19" t="s">
        <v>132</v>
      </c>
      <c r="I19" t="s">
        <v>37</v>
      </c>
      <c r="J19" t="s">
        <v>25</v>
      </c>
      <c r="K19" t="s">
        <v>26</v>
      </c>
      <c r="L19" t="s">
        <v>27</v>
      </c>
      <c r="M19" t="s">
        <v>41</v>
      </c>
      <c r="N19" t="s">
        <v>57</v>
      </c>
      <c r="O19" t="s">
        <v>133</v>
      </c>
      <c r="P19" t="s">
        <v>44</v>
      </c>
      <c r="Q19">
        <v>5</v>
      </c>
      <c r="R19">
        <v>1526.78</v>
      </c>
      <c r="S19">
        <v>0</v>
      </c>
      <c r="T19" s="12">
        <f>S19</f>
        <v>0</v>
      </c>
      <c r="U19">
        <v>7633.9</v>
      </c>
      <c r="V19">
        <f>Q19*R19*(1-S19)</f>
        <v>7633.9</v>
      </c>
      <c r="W19">
        <v>4706.91</v>
      </c>
      <c r="X19">
        <v>2926.99</v>
      </c>
      <c r="Y19">
        <f>V19-W19</f>
        <v>2926.99</v>
      </c>
      <c r="Z19" s="12">
        <f>Y19/V19</f>
        <v>0.38342000812166782</v>
      </c>
      <c r="AA19" t="s">
        <v>32</v>
      </c>
      <c r="AB19" t="s">
        <v>33</v>
      </c>
      <c r="AC19" s="10" t="s">
        <v>2792</v>
      </c>
      <c r="AD19" t="s">
        <v>2782</v>
      </c>
      <c r="AE19" t="str">
        <f>PROPER(TRIM(AB19))</f>
        <v>Completed</v>
      </c>
      <c r="AS19" t="str">
        <f t="shared" si="2"/>
        <v/>
      </c>
    </row>
    <row r="20" spans="1:45">
      <c r="A20" t="s">
        <v>134</v>
      </c>
      <c r="B20" s="7">
        <v>45853</v>
      </c>
      <c r="C20" s="4">
        <v>45855</v>
      </c>
      <c r="D20">
        <f>C20-B20</f>
        <v>2</v>
      </c>
      <c r="E20" t="str">
        <f>TEXT(B20,"mmmm")</f>
        <v>July</v>
      </c>
      <c r="F20">
        <f>YEAR(B20)</f>
        <v>2025</v>
      </c>
      <c r="G20" t="s">
        <v>135</v>
      </c>
      <c r="H20" t="s">
        <v>128</v>
      </c>
      <c r="I20" t="s">
        <v>95</v>
      </c>
      <c r="J20" t="s">
        <v>25</v>
      </c>
      <c r="K20" t="s">
        <v>136</v>
      </c>
      <c r="L20" t="s">
        <v>137</v>
      </c>
      <c r="M20" t="s">
        <v>74</v>
      </c>
      <c r="N20" t="s">
        <v>80</v>
      </c>
      <c r="O20" t="s">
        <v>138</v>
      </c>
      <c r="P20" t="s">
        <v>50</v>
      </c>
      <c r="Q20">
        <v>2</v>
      </c>
      <c r="R20">
        <v>1997.99</v>
      </c>
      <c r="S20">
        <v>0</v>
      </c>
      <c r="T20" s="12">
        <f>S20</f>
        <v>0</v>
      </c>
      <c r="U20">
        <v>3995.98</v>
      </c>
      <c r="V20">
        <f>Q20*R20*(1-S20)</f>
        <v>3995.98</v>
      </c>
      <c r="W20">
        <v>2633.2</v>
      </c>
      <c r="X20">
        <v>1362.78</v>
      </c>
      <c r="Y20">
        <f>V20-W20</f>
        <v>1362.7800000000002</v>
      </c>
      <c r="Z20" s="12">
        <f>Y20/V20</f>
        <v>0.34103774293164635</v>
      </c>
      <c r="AA20" t="s">
        <v>102</v>
      </c>
      <c r="AB20" t="s">
        <v>68</v>
      </c>
      <c r="AC20" s="14" t="s">
        <v>2794</v>
      </c>
      <c r="AD20" t="s">
        <v>2782</v>
      </c>
      <c r="AE20" t="str">
        <f>PROPER(TRIM(AB20))</f>
        <v>Cancelled</v>
      </c>
      <c r="AS20" t="str">
        <f t="shared" si="2"/>
        <v/>
      </c>
    </row>
    <row r="21" spans="1:45">
      <c r="A21" t="s">
        <v>139</v>
      </c>
      <c r="B21" s="7">
        <v>45500</v>
      </c>
      <c r="C21" s="4">
        <v>45504</v>
      </c>
      <c r="D21">
        <f>C21-B21</f>
        <v>4</v>
      </c>
      <c r="E21" t="str">
        <f>TEXT(B21,"mmmm")</f>
        <v>July</v>
      </c>
      <c r="F21">
        <f>YEAR(B21)</f>
        <v>2024</v>
      </c>
      <c r="G21" t="s">
        <v>140</v>
      </c>
      <c r="H21" t="s">
        <v>141</v>
      </c>
      <c r="I21" t="s">
        <v>95</v>
      </c>
      <c r="J21" t="s">
        <v>63</v>
      </c>
      <c r="K21" t="s">
        <v>72</v>
      </c>
      <c r="L21" t="s">
        <v>73</v>
      </c>
      <c r="M21" t="s">
        <v>28</v>
      </c>
      <c r="N21" t="s">
        <v>124</v>
      </c>
      <c r="O21" t="s">
        <v>142</v>
      </c>
      <c r="P21" t="s">
        <v>31</v>
      </c>
      <c r="Q21">
        <v>3</v>
      </c>
      <c r="R21">
        <v>3887.94</v>
      </c>
      <c r="S21">
        <v>-0.19</v>
      </c>
      <c r="T21" s="13">
        <f>S21</f>
        <v>-0.19</v>
      </c>
      <c r="U21">
        <v>9331.06</v>
      </c>
      <c r="V21">
        <f>Q21*R21*(1-S21)</f>
        <v>13879.9458</v>
      </c>
      <c r="W21">
        <v>7529.31</v>
      </c>
      <c r="X21">
        <v>1801.75</v>
      </c>
      <c r="Y21">
        <f>V21-W21</f>
        <v>6350.6357999999991</v>
      </c>
      <c r="Z21" s="12">
        <f>Y21/V21</f>
        <v>0.45754038895454474</v>
      </c>
      <c r="AA21" t="s">
        <v>32</v>
      </c>
      <c r="AB21" t="s">
        <v>33</v>
      </c>
      <c r="AC21" s="10" t="s">
        <v>2793</v>
      </c>
      <c r="AD21" t="s">
        <v>2782</v>
      </c>
      <c r="AE21" t="str">
        <f>PROPER(TRIM(AB21))</f>
        <v>Completed</v>
      </c>
      <c r="AS21" t="str">
        <f t="shared" si="2"/>
        <v/>
      </c>
    </row>
    <row r="22" spans="1:45">
      <c r="A22" t="s">
        <v>143</v>
      </c>
      <c r="B22" s="7">
        <v>45678</v>
      </c>
      <c r="C22" s="4">
        <v>45680</v>
      </c>
      <c r="D22">
        <f>C22-B22</f>
        <v>2</v>
      </c>
      <c r="E22" t="str">
        <f>TEXT(B22,"mmmm")</f>
        <v>January</v>
      </c>
      <c r="F22">
        <f>YEAR(B22)</f>
        <v>2025</v>
      </c>
      <c r="G22" t="s">
        <v>144</v>
      </c>
      <c r="H22" t="s">
        <v>89</v>
      </c>
      <c r="I22" t="s">
        <v>95</v>
      </c>
      <c r="J22" t="s">
        <v>38</v>
      </c>
      <c r="K22" t="s">
        <v>145</v>
      </c>
      <c r="L22" t="s">
        <v>146</v>
      </c>
      <c r="M22" t="s">
        <v>74</v>
      </c>
      <c r="N22" t="s">
        <v>80</v>
      </c>
      <c r="O22" t="s">
        <v>147</v>
      </c>
      <c r="P22" t="s">
        <v>50</v>
      </c>
      <c r="Q22">
        <v>5</v>
      </c>
      <c r="R22">
        <v>4373.0600000000004</v>
      </c>
      <c r="S22">
        <v>0.25</v>
      </c>
      <c r="T22" s="12">
        <f>S22</f>
        <v>0.25</v>
      </c>
      <c r="U22">
        <v>16398.98</v>
      </c>
      <c r="V22">
        <f>Q22*R22*(1-S22)</f>
        <v>16398.975000000002</v>
      </c>
      <c r="W22">
        <v>9556.52</v>
      </c>
      <c r="X22">
        <v>6842.46</v>
      </c>
      <c r="Y22">
        <f>V22-W22</f>
        <v>6842.4550000000017</v>
      </c>
      <c r="Z22" s="12">
        <f>Y22/V22</f>
        <v>0.4172489439126531</v>
      </c>
      <c r="AA22" t="s">
        <v>32</v>
      </c>
      <c r="AB22" t="s">
        <v>33</v>
      </c>
      <c r="AC22" s="14" t="s">
        <v>2794</v>
      </c>
      <c r="AD22" t="s">
        <v>2782</v>
      </c>
      <c r="AE22" t="str">
        <f>PROPER(TRIM(AB22))</f>
        <v>Completed</v>
      </c>
      <c r="AS22" t="str">
        <f t="shared" si="2"/>
        <v/>
      </c>
    </row>
    <row r="23" spans="1:45">
      <c r="A23" t="s">
        <v>148</v>
      </c>
      <c r="B23" s="7">
        <v>45681</v>
      </c>
      <c r="C23" s="4">
        <v>45687</v>
      </c>
      <c r="D23">
        <f>C23-B23</f>
        <v>6</v>
      </c>
      <c r="E23" t="str">
        <f>TEXT(B23,"mmmm")</f>
        <v>January</v>
      </c>
      <c r="F23">
        <f>YEAR(B23)</f>
        <v>2025</v>
      </c>
      <c r="G23" t="s">
        <v>149</v>
      </c>
      <c r="H23" t="s">
        <v>132</v>
      </c>
      <c r="I23" t="s">
        <v>24</v>
      </c>
      <c r="J23" t="s">
        <v>63</v>
      </c>
      <c r="K23" t="s">
        <v>72</v>
      </c>
      <c r="L23" t="s">
        <v>73</v>
      </c>
      <c r="M23" t="s">
        <v>41</v>
      </c>
      <c r="N23" t="s">
        <v>57</v>
      </c>
      <c r="O23" t="s">
        <v>150</v>
      </c>
      <c r="P23" t="s">
        <v>31</v>
      </c>
      <c r="Q23">
        <v>4</v>
      </c>
      <c r="R23">
        <v>697.69</v>
      </c>
      <c r="S23">
        <v>-0.23</v>
      </c>
      <c r="T23" s="13">
        <f>S23</f>
        <v>-0.23</v>
      </c>
      <c r="U23">
        <v>2790.76</v>
      </c>
      <c r="V23">
        <f>Q23*R23*(1-S23)</f>
        <v>3432.6348000000003</v>
      </c>
      <c r="W23">
        <v>2037.71</v>
      </c>
      <c r="X23">
        <v>753.05</v>
      </c>
      <c r="Y23">
        <f>V23-W23</f>
        <v>1394.9248000000002</v>
      </c>
      <c r="Z23" s="12">
        <f>Y23/V23</f>
        <v>0.40637145553613807</v>
      </c>
      <c r="AA23" t="s">
        <v>32</v>
      </c>
      <c r="AB23" t="s">
        <v>33</v>
      </c>
      <c r="AC23" s="10" t="s">
        <v>2793</v>
      </c>
      <c r="AD23" t="s">
        <v>2782</v>
      </c>
      <c r="AE23" t="str">
        <f>PROPER(TRIM(AB23))</f>
        <v>Completed</v>
      </c>
      <c r="AS23" t="str">
        <f t="shared" si="2"/>
        <v/>
      </c>
    </row>
    <row r="24" spans="1:45">
      <c r="A24" t="s">
        <v>151</v>
      </c>
      <c r="B24" s="7">
        <v>45676</v>
      </c>
      <c r="C24" s="4">
        <v>45678</v>
      </c>
      <c r="D24">
        <f>C24-B24</f>
        <v>2</v>
      </c>
      <c r="E24" t="str">
        <f>TEXT(B24,"mmmm")</f>
        <v>January</v>
      </c>
      <c r="F24">
        <f>YEAR(B24)</f>
        <v>2025</v>
      </c>
      <c r="G24" t="s">
        <v>152</v>
      </c>
      <c r="H24" t="s">
        <v>36</v>
      </c>
      <c r="I24" t="s">
        <v>24</v>
      </c>
      <c r="J24" t="s">
        <v>54</v>
      </c>
      <c r="K24" t="s">
        <v>55</v>
      </c>
      <c r="L24" t="s">
        <v>56</v>
      </c>
      <c r="M24" t="s">
        <v>28</v>
      </c>
      <c r="N24" t="s">
        <v>153</v>
      </c>
      <c r="O24" t="s">
        <v>154</v>
      </c>
      <c r="P24" t="s">
        <v>59</v>
      </c>
      <c r="Q24">
        <v>8</v>
      </c>
      <c r="R24">
        <v>1219.3399999999999</v>
      </c>
      <c r="S24">
        <v>0.15</v>
      </c>
      <c r="T24" s="12">
        <f>S24</f>
        <v>0.15</v>
      </c>
      <c r="U24">
        <v>8291.51</v>
      </c>
      <c r="V24">
        <f>Q24*R24*(1-S24)</f>
        <v>8291.5119999999988</v>
      </c>
      <c r="W24">
        <v>6685.03</v>
      </c>
      <c r="X24">
        <v>1606.48</v>
      </c>
      <c r="Y24">
        <f>V24-W24</f>
        <v>1606.4819999999991</v>
      </c>
      <c r="Z24" s="12">
        <f>Y24/V24</f>
        <v>0.19375018693816029</v>
      </c>
      <c r="AA24" t="s">
        <v>155</v>
      </c>
      <c r="AB24" t="s">
        <v>103</v>
      </c>
      <c r="AC24" s="14" t="s">
        <v>2794</v>
      </c>
      <c r="AD24" t="s">
        <v>2782</v>
      </c>
      <c r="AE24" t="str">
        <f>PROPER(TRIM(AB24))</f>
        <v>Returned</v>
      </c>
      <c r="AS24" t="str">
        <f t="shared" si="2"/>
        <v/>
      </c>
    </row>
    <row r="25" spans="1:45">
      <c r="A25" t="s">
        <v>156</v>
      </c>
      <c r="B25" s="7">
        <v>45898</v>
      </c>
      <c r="C25" s="4">
        <v>45900</v>
      </c>
      <c r="D25">
        <f>C25-B25</f>
        <v>2</v>
      </c>
      <c r="E25" t="str">
        <f>TEXT(B25,"mmmm")</f>
        <v>August</v>
      </c>
      <c r="F25">
        <f>YEAR(B25)</f>
        <v>2025</v>
      </c>
      <c r="G25" t="s">
        <v>157</v>
      </c>
      <c r="H25" t="s">
        <v>118</v>
      </c>
      <c r="I25" t="s">
        <v>95</v>
      </c>
      <c r="J25" t="s">
        <v>38</v>
      </c>
      <c r="K25" t="s">
        <v>145</v>
      </c>
      <c r="L25" t="s">
        <v>146</v>
      </c>
      <c r="M25" t="s">
        <v>41</v>
      </c>
      <c r="N25" t="s">
        <v>158</v>
      </c>
      <c r="O25" t="s">
        <v>159</v>
      </c>
      <c r="P25" t="s">
        <v>50</v>
      </c>
      <c r="Q25">
        <v>4</v>
      </c>
      <c r="R25">
        <v>1958.01</v>
      </c>
      <c r="S25">
        <v>0.2</v>
      </c>
      <c r="T25" s="12">
        <f>S25</f>
        <v>0.2</v>
      </c>
      <c r="U25">
        <v>6265.63</v>
      </c>
      <c r="V25">
        <f>Q25*R25*(1-S25)</f>
        <v>6265.6320000000005</v>
      </c>
      <c r="W25">
        <v>4321.8599999999997</v>
      </c>
      <c r="X25">
        <v>1943.77</v>
      </c>
      <c r="Y25">
        <f>V25-W25</f>
        <v>1943.7720000000008</v>
      </c>
      <c r="Z25" s="12">
        <f>Y25/V25</f>
        <v>0.31022760353624351</v>
      </c>
      <c r="AA25" t="s">
        <v>32</v>
      </c>
      <c r="AB25" t="s">
        <v>33</v>
      </c>
      <c r="AC25" s="14" t="s">
        <v>2794</v>
      </c>
      <c r="AD25" t="s">
        <v>2782</v>
      </c>
      <c r="AE25" t="str">
        <f>PROPER(TRIM(AB25))</f>
        <v>Completed</v>
      </c>
      <c r="AS25" t="str">
        <f t="shared" si="2"/>
        <v/>
      </c>
    </row>
    <row r="26" spans="1:45">
      <c r="A26" t="s">
        <v>160</v>
      </c>
      <c r="B26" s="7">
        <v>45355</v>
      </c>
      <c r="C26" s="4">
        <v>45294</v>
      </c>
      <c r="D26" s="10">
        <f>C26-B26</f>
        <v>-61</v>
      </c>
      <c r="E26" t="str">
        <f>TEXT(B26,"mmmm")</f>
        <v>March</v>
      </c>
      <c r="F26">
        <f>YEAR(B26)</f>
        <v>2024</v>
      </c>
      <c r="G26" t="s">
        <v>161</v>
      </c>
      <c r="H26" t="s">
        <v>162</v>
      </c>
      <c r="I26" t="s">
        <v>24</v>
      </c>
      <c r="J26" t="s">
        <v>25</v>
      </c>
      <c r="K26" t="s">
        <v>122</v>
      </c>
      <c r="L26" t="s">
        <v>123</v>
      </c>
      <c r="M26" t="s">
        <v>28</v>
      </c>
      <c r="N26" t="s">
        <v>48</v>
      </c>
      <c r="O26" t="s">
        <v>163</v>
      </c>
      <c r="P26" t="s">
        <v>59</v>
      </c>
      <c r="Q26">
        <v>4</v>
      </c>
      <c r="R26">
        <v>4492.9399999999996</v>
      </c>
      <c r="S26">
        <v>0.25</v>
      </c>
      <c r="T26" s="12">
        <f>S26</f>
        <v>0.25</v>
      </c>
      <c r="U26">
        <v>13478.82</v>
      </c>
      <c r="V26">
        <f>Q26*R26*(1-S26)</f>
        <v>13478.82</v>
      </c>
      <c r="W26">
        <v>10937.35</v>
      </c>
      <c r="X26">
        <v>2541.4699999999998</v>
      </c>
      <c r="Y26">
        <f>V26-W26</f>
        <v>2541.4699999999993</v>
      </c>
      <c r="Z26" s="12">
        <f>Y26/V26</f>
        <v>0.18855285551702591</v>
      </c>
      <c r="AA26" t="s">
        <v>111</v>
      </c>
      <c r="AB26" t="s">
        <v>68</v>
      </c>
      <c r="AC26" s="10" t="s">
        <v>2792</v>
      </c>
      <c r="AD26" t="s">
        <v>2782</v>
      </c>
      <c r="AE26" t="str">
        <f>PROPER(TRIM(AB26))</f>
        <v>Cancelled</v>
      </c>
      <c r="AS26" t="str">
        <f t="shared" si="2"/>
        <v/>
      </c>
    </row>
    <row r="27" spans="1:45">
      <c r="A27" t="s">
        <v>164</v>
      </c>
      <c r="B27" s="7">
        <v>45576</v>
      </c>
      <c r="C27" s="4">
        <v>45584</v>
      </c>
      <c r="D27">
        <f>C27-B27</f>
        <v>8</v>
      </c>
      <c r="E27" t="str">
        <f>TEXT(B27,"mmmm")</f>
        <v>October</v>
      </c>
      <c r="F27">
        <f>YEAR(B27)</f>
        <v>2024</v>
      </c>
      <c r="G27" t="s">
        <v>165</v>
      </c>
      <c r="H27" t="s">
        <v>53</v>
      </c>
      <c r="I27" t="s">
        <v>90</v>
      </c>
      <c r="J27" t="s">
        <v>38</v>
      </c>
      <c r="K27" t="s">
        <v>166</v>
      </c>
      <c r="L27" t="s">
        <v>167</v>
      </c>
      <c r="M27" t="s">
        <v>74</v>
      </c>
      <c r="N27" t="s">
        <v>75</v>
      </c>
      <c r="O27" t="s">
        <v>168</v>
      </c>
      <c r="P27" t="s">
        <v>50</v>
      </c>
      <c r="Q27">
        <v>2</v>
      </c>
      <c r="R27">
        <v>4315.2</v>
      </c>
      <c r="S27">
        <v>0.15</v>
      </c>
      <c r="T27" s="12">
        <f>S27</f>
        <v>0.15</v>
      </c>
      <c r="U27">
        <v>7335.84</v>
      </c>
      <c r="V27">
        <f>Q27*R27*(1-S27)</f>
        <v>7335.8399999999992</v>
      </c>
      <c r="W27">
        <v>4968.41</v>
      </c>
      <c r="X27">
        <v>2367.4299999999998</v>
      </c>
      <c r="Y27">
        <f>V27-W27</f>
        <v>2367.4299999999994</v>
      </c>
      <c r="Z27" s="12">
        <f>Y27/V27</f>
        <v>0.32272105171323251</v>
      </c>
      <c r="AA27" t="s">
        <v>32</v>
      </c>
      <c r="AB27" t="s">
        <v>33</v>
      </c>
      <c r="AC27" s="14" t="s">
        <v>2794</v>
      </c>
      <c r="AD27" t="s">
        <v>2782</v>
      </c>
      <c r="AE27" t="str">
        <f>PROPER(TRIM(AB27))</f>
        <v>Completed</v>
      </c>
      <c r="AS27" t="str">
        <f t="shared" si="2"/>
        <v/>
      </c>
    </row>
    <row r="28" spans="1:45">
      <c r="A28" t="s">
        <v>169</v>
      </c>
      <c r="B28" s="7">
        <v>45619</v>
      </c>
      <c r="C28" s="4">
        <v>45619</v>
      </c>
      <c r="D28">
        <f>C28-B28</f>
        <v>0</v>
      </c>
      <c r="E28" t="str">
        <f>TEXT(B28,"mmmm")</f>
        <v>November</v>
      </c>
      <c r="F28">
        <f>YEAR(B28)</f>
        <v>2024</v>
      </c>
      <c r="G28" t="s">
        <v>170</v>
      </c>
      <c r="H28" t="s">
        <v>162</v>
      </c>
      <c r="I28" t="s">
        <v>90</v>
      </c>
      <c r="J28" t="s">
        <v>25</v>
      </c>
      <c r="K28" t="s">
        <v>136</v>
      </c>
      <c r="L28" t="s">
        <v>137</v>
      </c>
      <c r="M28" t="s">
        <v>74</v>
      </c>
      <c r="N28" t="s">
        <v>171</v>
      </c>
      <c r="O28" t="s">
        <v>172</v>
      </c>
      <c r="P28" t="s">
        <v>59</v>
      </c>
      <c r="Q28">
        <v>4</v>
      </c>
      <c r="R28">
        <v>716.13</v>
      </c>
      <c r="S28">
        <v>0.1</v>
      </c>
      <c r="T28" s="12">
        <f>S28</f>
        <v>0.1</v>
      </c>
      <c r="U28">
        <v>2578.0700000000002</v>
      </c>
      <c r="V28">
        <f>Q28*R28*(1-S28)</f>
        <v>2578.0680000000002</v>
      </c>
      <c r="W28">
        <v>1527.55</v>
      </c>
      <c r="X28">
        <v>1050.52</v>
      </c>
      <c r="Y28">
        <f>V28-W28</f>
        <v>1050.5180000000003</v>
      </c>
      <c r="Z28" s="12">
        <f>Y28/V28</f>
        <v>0.40748265755596835</v>
      </c>
      <c r="AA28" t="s">
        <v>32</v>
      </c>
      <c r="AB28" t="s">
        <v>103</v>
      </c>
      <c r="AC28" s="14" t="s">
        <v>2794</v>
      </c>
      <c r="AD28" t="s">
        <v>2782</v>
      </c>
      <c r="AE28" t="str">
        <f>PROPER(TRIM(AB28))</f>
        <v>Returned</v>
      </c>
      <c r="AS28" t="str">
        <f t="shared" si="2"/>
        <v/>
      </c>
    </row>
    <row r="29" spans="1:45">
      <c r="A29" t="s">
        <v>173</v>
      </c>
      <c r="B29" s="7">
        <v>45929</v>
      </c>
      <c r="C29" s="4">
        <v>45935</v>
      </c>
      <c r="D29">
        <f>C29-B29</f>
        <v>6</v>
      </c>
      <c r="E29" t="str">
        <f>TEXT(B29,"mmmm")</f>
        <v>September</v>
      </c>
      <c r="F29">
        <f>YEAR(B29)</f>
        <v>2025</v>
      </c>
      <c r="G29" t="s">
        <v>174</v>
      </c>
      <c r="H29" t="s">
        <v>53</v>
      </c>
      <c r="I29" t="s">
        <v>37</v>
      </c>
      <c r="J29" t="s">
        <v>54</v>
      </c>
      <c r="K29" t="s">
        <v>175</v>
      </c>
      <c r="L29" t="s">
        <v>176</v>
      </c>
      <c r="M29" t="s">
        <v>28</v>
      </c>
      <c r="N29" t="s">
        <v>29</v>
      </c>
      <c r="O29" t="s">
        <v>177</v>
      </c>
      <c r="P29" t="s">
        <v>31</v>
      </c>
      <c r="Q29">
        <v>5</v>
      </c>
      <c r="R29">
        <v>1806.51</v>
      </c>
      <c r="S29">
        <v>0.25</v>
      </c>
      <c r="T29" s="12">
        <f>S29</f>
        <v>0.25</v>
      </c>
      <c r="U29">
        <v>6774.41</v>
      </c>
      <c r="V29">
        <f>Q29*R29*(1-S29)</f>
        <v>6774.4124999999995</v>
      </c>
      <c r="W29">
        <v>4710.3599999999997</v>
      </c>
      <c r="X29">
        <v>2064.0500000000002</v>
      </c>
      <c r="Y29">
        <f>V29-W29</f>
        <v>2064.0524999999998</v>
      </c>
      <c r="Z29" s="12">
        <f>Y29/V29</f>
        <v>0.30468361647596748</v>
      </c>
      <c r="AA29" t="s">
        <v>155</v>
      </c>
      <c r="AB29" t="s">
        <v>103</v>
      </c>
      <c r="AC29" s="14" t="s">
        <v>2794</v>
      </c>
      <c r="AD29" t="s">
        <v>2782</v>
      </c>
      <c r="AE29" t="str">
        <f>PROPER(TRIM(AB29))</f>
        <v>Returned</v>
      </c>
      <c r="AS29" t="str">
        <f t="shared" si="2"/>
        <v/>
      </c>
    </row>
    <row r="30" spans="1:45">
      <c r="A30" t="s">
        <v>178</v>
      </c>
      <c r="B30" s="7">
        <v>45576</v>
      </c>
      <c r="C30" s="4">
        <v>45583</v>
      </c>
      <c r="D30">
        <f>C30-B30</f>
        <v>7</v>
      </c>
      <c r="E30" t="str">
        <f>TEXT(B30,"mmmm")</f>
        <v>October</v>
      </c>
      <c r="F30">
        <f>YEAR(B30)</f>
        <v>2024</v>
      </c>
      <c r="G30" t="s">
        <v>179</v>
      </c>
      <c r="H30" t="s">
        <v>62</v>
      </c>
      <c r="I30" t="s">
        <v>95</v>
      </c>
      <c r="J30" t="s">
        <v>63</v>
      </c>
      <c r="K30" t="s">
        <v>180</v>
      </c>
      <c r="L30" t="s">
        <v>181</v>
      </c>
      <c r="M30" t="s">
        <v>74</v>
      </c>
      <c r="N30" t="s">
        <v>171</v>
      </c>
      <c r="O30" t="s">
        <v>182</v>
      </c>
      <c r="P30" t="s">
        <v>31</v>
      </c>
      <c r="Q30">
        <v>2</v>
      </c>
      <c r="R30">
        <v>1942.22</v>
      </c>
      <c r="S30">
        <v>0.25</v>
      </c>
      <c r="T30" s="12">
        <f>S30</f>
        <v>0.25</v>
      </c>
      <c r="U30">
        <v>2913.33</v>
      </c>
      <c r="V30">
        <f>Q30*R30*(1-S30)</f>
        <v>2913.33</v>
      </c>
      <c r="W30">
        <v>2122.33</v>
      </c>
      <c r="X30">
        <v>791</v>
      </c>
      <c r="Y30">
        <f>V30-W30</f>
        <v>791</v>
      </c>
      <c r="Z30" s="12">
        <f>Y30/V30</f>
        <v>0.27151060813570727</v>
      </c>
      <c r="AA30" t="s">
        <v>102</v>
      </c>
      <c r="AB30" t="s">
        <v>68</v>
      </c>
      <c r="AC30" s="14" t="s">
        <v>2794</v>
      </c>
      <c r="AD30" t="s">
        <v>2782</v>
      </c>
      <c r="AE30" t="str">
        <f>PROPER(TRIM(AB30))</f>
        <v>Cancelled</v>
      </c>
      <c r="AS30" t="str">
        <f t="shared" si="2"/>
        <v/>
      </c>
    </row>
    <row r="31" spans="1:45">
      <c r="A31" t="s">
        <v>183</v>
      </c>
      <c r="B31" s="7">
        <v>45882</v>
      </c>
      <c r="C31" s="4">
        <v>45882</v>
      </c>
      <c r="D31">
        <f>C31-B31</f>
        <v>0</v>
      </c>
      <c r="E31" t="str">
        <f>TEXT(B31,"mmmm")</f>
        <v>August</v>
      </c>
      <c r="F31">
        <f>YEAR(B31)</f>
        <v>2025</v>
      </c>
      <c r="G31" t="s">
        <v>184</v>
      </c>
      <c r="H31" t="s">
        <v>141</v>
      </c>
      <c r="I31" t="s">
        <v>95</v>
      </c>
      <c r="J31" t="s">
        <v>54</v>
      </c>
      <c r="K31" t="s">
        <v>185</v>
      </c>
      <c r="L31" t="s">
        <v>186</v>
      </c>
      <c r="M31" t="s">
        <v>74</v>
      </c>
      <c r="N31" t="s">
        <v>171</v>
      </c>
      <c r="O31" t="s">
        <v>187</v>
      </c>
      <c r="P31" t="s">
        <v>59</v>
      </c>
      <c r="Q31">
        <v>1</v>
      </c>
      <c r="R31">
        <v>256.01</v>
      </c>
      <c r="S31">
        <v>0.15</v>
      </c>
      <c r="T31" s="12">
        <f>S31</f>
        <v>0.15</v>
      </c>
      <c r="U31">
        <v>217.61</v>
      </c>
      <c r="V31">
        <f>Q31*R31*(1-S31)</f>
        <v>217.60849999999999</v>
      </c>
      <c r="W31">
        <v>119.77</v>
      </c>
      <c r="X31">
        <v>97.84</v>
      </c>
      <c r="Y31">
        <f>V31-W31</f>
        <v>97.838499999999996</v>
      </c>
      <c r="Z31" s="12">
        <f>Y31/V31</f>
        <v>0.44960789675035673</v>
      </c>
      <c r="AA31" t="s">
        <v>32</v>
      </c>
      <c r="AB31" t="s">
        <v>33</v>
      </c>
      <c r="AC31" s="14" t="s">
        <v>2794</v>
      </c>
      <c r="AD31" t="s">
        <v>2782</v>
      </c>
      <c r="AE31" t="str">
        <f>PROPER(TRIM(AB31))</f>
        <v>Completed</v>
      </c>
      <c r="AS31" t="str">
        <f t="shared" si="2"/>
        <v/>
      </c>
    </row>
    <row r="32" spans="1:45">
      <c r="A32" t="s">
        <v>188</v>
      </c>
      <c r="B32" s="7">
        <v>45331</v>
      </c>
      <c r="C32" s="4">
        <v>45628</v>
      </c>
      <c r="D32">
        <f>C32-B32</f>
        <v>297</v>
      </c>
      <c r="E32" t="str">
        <f>TEXT(B32,"mmmm")</f>
        <v>February</v>
      </c>
      <c r="F32">
        <f>YEAR(B32)</f>
        <v>2024</v>
      </c>
      <c r="G32" t="s">
        <v>189</v>
      </c>
      <c r="H32" t="s">
        <v>62</v>
      </c>
      <c r="I32" t="s">
        <v>90</v>
      </c>
      <c r="J32" t="s">
        <v>63</v>
      </c>
      <c r="K32" t="s">
        <v>190</v>
      </c>
      <c r="L32" t="s">
        <v>191</v>
      </c>
      <c r="M32" t="s">
        <v>28</v>
      </c>
      <c r="N32" t="s">
        <v>91</v>
      </c>
      <c r="O32" t="s">
        <v>192</v>
      </c>
      <c r="P32" t="s">
        <v>50</v>
      </c>
      <c r="Q32">
        <v>1</v>
      </c>
      <c r="R32">
        <v>3421.77</v>
      </c>
      <c r="S32">
        <v>0.1</v>
      </c>
      <c r="T32" s="12">
        <f>S32</f>
        <v>0.1</v>
      </c>
      <c r="U32">
        <v>3079.59</v>
      </c>
      <c r="V32">
        <f>Q32*R32*(1-S32)</f>
        <v>3079.5929999999998</v>
      </c>
      <c r="W32">
        <v>2001.89</v>
      </c>
      <c r="X32">
        <v>1077.7</v>
      </c>
      <c r="Y32">
        <f>V32-W32</f>
        <v>1077.7029999999997</v>
      </c>
      <c r="Z32" s="12">
        <f>Y32/V32</f>
        <v>0.34994981479695525</v>
      </c>
      <c r="AA32" t="s">
        <v>32</v>
      </c>
      <c r="AB32" t="s">
        <v>33</v>
      </c>
      <c r="AC32" s="14" t="s">
        <v>2794</v>
      </c>
      <c r="AD32" t="s">
        <v>2782</v>
      </c>
      <c r="AE32" t="str">
        <f>PROPER(TRIM(AB32))</f>
        <v>Completed</v>
      </c>
      <c r="AS32" t="str">
        <f t="shared" si="2"/>
        <v/>
      </c>
    </row>
    <row r="33" spans="1:45">
      <c r="A33" t="s">
        <v>193</v>
      </c>
      <c r="B33" s="7">
        <v>45823</v>
      </c>
      <c r="C33" s="4">
        <v>45827</v>
      </c>
      <c r="D33">
        <f>C33-B33</f>
        <v>4</v>
      </c>
      <c r="E33" t="str">
        <f>TEXT(B33,"mmmm")</f>
        <v>June</v>
      </c>
      <c r="F33">
        <f>YEAR(B33)</f>
        <v>2025</v>
      </c>
      <c r="G33" t="s">
        <v>194</v>
      </c>
      <c r="H33" t="s">
        <v>23</v>
      </c>
      <c r="I33" t="s">
        <v>37</v>
      </c>
      <c r="J33" t="s">
        <v>63</v>
      </c>
      <c r="K33" t="s">
        <v>72</v>
      </c>
      <c r="L33" t="s">
        <v>73</v>
      </c>
      <c r="M33" t="s">
        <v>28</v>
      </c>
      <c r="N33" t="s">
        <v>29</v>
      </c>
      <c r="O33" t="s">
        <v>195</v>
      </c>
      <c r="P33" t="s">
        <v>31</v>
      </c>
      <c r="Q33">
        <v>9</v>
      </c>
      <c r="R33">
        <v>3092.55</v>
      </c>
      <c r="S33">
        <v>0</v>
      </c>
      <c r="T33" s="12">
        <f>S33</f>
        <v>0</v>
      </c>
      <c r="U33">
        <v>27832.95</v>
      </c>
      <c r="V33">
        <f>Q33*R33*(1-S33)</f>
        <v>27832.95</v>
      </c>
      <c r="W33">
        <v>17769.75</v>
      </c>
      <c r="X33">
        <v>10063.200000000001</v>
      </c>
      <c r="Y33">
        <f>V33-W33</f>
        <v>10063.200000000001</v>
      </c>
      <c r="Z33" s="12">
        <f>Y33/V33</f>
        <v>0.36155707533696574</v>
      </c>
      <c r="AA33" t="s">
        <v>155</v>
      </c>
      <c r="AB33" t="s">
        <v>103</v>
      </c>
      <c r="AC33" s="14" t="s">
        <v>2794</v>
      </c>
      <c r="AD33" t="s">
        <v>2782</v>
      </c>
      <c r="AE33" t="str">
        <f>PROPER(TRIM(AB33))</f>
        <v>Returned</v>
      </c>
      <c r="AS33" t="str">
        <f t="shared" si="2"/>
        <v/>
      </c>
    </row>
    <row r="34" spans="1:45">
      <c r="A34" t="s">
        <v>196</v>
      </c>
      <c r="B34" s="7">
        <v>45618</v>
      </c>
      <c r="C34" s="4">
        <v>45622</v>
      </c>
      <c r="D34">
        <f>C34-B34</f>
        <v>4</v>
      </c>
      <c r="E34" t="str">
        <f>TEXT(B34,"mmmm")</f>
        <v>November</v>
      </c>
      <c r="F34">
        <f>YEAR(B34)</f>
        <v>2024</v>
      </c>
      <c r="G34" t="s">
        <v>197</v>
      </c>
      <c r="H34" t="s">
        <v>128</v>
      </c>
      <c r="I34" t="s">
        <v>90</v>
      </c>
      <c r="J34" t="s">
        <v>54</v>
      </c>
      <c r="K34" t="s">
        <v>84</v>
      </c>
      <c r="L34" t="s">
        <v>85</v>
      </c>
      <c r="M34" t="s">
        <v>74</v>
      </c>
      <c r="N34" t="s">
        <v>171</v>
      </c>
      <c r="O34" t="s">
        <v>198</v>
      </c>
      <c r="P34" t="s">
        <v>31</v>
      </c>
      <c r="Q34">
        <v>3</v>
      </c>
      <c r="R34">
        <v>4001.25</v>
      </c>
      <c r="S34">
        <v>0</v>
      </c>
      <c r="T34" s="12">
        <f>S34</f>
        <v>0</v>
      </c>
      <c r="U34">
        <v>9002.81</v>
      </c>
      <c r="V34">
        <f>Q34*R34*(1-S34)</f>
        <v>12003.75</v>
      </c>
      <c r="W34">
        <v>7529.92</v>
      </c>
      <c r="X34">
        <v>1472.89</v>
      </c>
      <c r="Y34">
        <f>V34-W34</f>
        <v>4473.83</v>
      </c>
      <c r="Z34" s="12">
        <f>Y34/V34</f>
        <v>0.37270269707383108</v>
      </c>
      <c r="AA34" t="s">
        <v>32</v>
      </c>
      <c r="AB34" t="s">
        <v>33</v>
      </c>
      <c r="AC34" s="14" t="s">
        <v>2794</v>
      </c>
      <c r="AD34" t="s">
        <v>2782</v>
      </c>
      <c r="AE34" t="str">
        <f>PROPER(TRIM(AB34))</f>
        <v>Completed</v>
      </c>
      <c r="AS34" t="str">
        <f t="shared" si="2"/>
        <v/>
      </c>
    </row>
    <row r="35" spans="1:45">
      <c r="A35" t="s">
        <v>199</v>
      </c>
      <c r="B35" s="7">
        <v>45495</v>
      </c>
      <c r="C35" s="4">
        <v>45500</v>
      </c>
      <c r="D35">
        <f>C35-B35</f>
        <v>5</v>
      </c>
      <c r="E35" t="str">
        <f>TEXT(B35,"mmmm")</f>
        <v>July</v>
      </c>
      <c r="F35">
        <f>YEAR(B35)</f>
        <v>2024</v>
      </c>
      <c r="G35" t="s">
        <v>200</v>
      </c>
      <c r="H35" t="s">
        <v>114</v>
      </c>
      <c r="I35" t="s">
        <v>95</v>
      </c>
      <c r="J35" t="s">
        <v>63</v>
      </c>
      <c r="K35" t="s">
        <v>190</v>
      </c>
      <c r="L35" t="s">
        <v>191</v>
      </c>
      <c r="M35" t="s">
        <v>41</v>
      </c>
      <c r="N35" t="s">
        <v>42</v>
      </c>
      <c r="O35" t="s">
        <v>201</v>
      </c>
      <c r="P35" t="s">
        <v>44</v>
      </c>
      <c r="Q35">
        <v>7</v>
      </c>
      <c r="R35">
        <v>492.41</v>
      </c>
      <c r="S35">
        <v>0.25</v>
      </c>
      <c r="T35" s="12">
        <f>S35</f>
        <v>0.25</v>
      </c>
      <c r="U35">
        <v>2585.15</v>
      </c>
      <c r="V35">
        <f>Q35*R35*(1-S35)</f>
        <v>2585.1525000000001</v>
      </c>
      <c r="W35">
        <v>2070.73</v>
      </c>
      <c r="X35">
        <v>514.41999999999996</v>
      </c>
      <c r="Y35">
        <f>V35-W35</f>
        <v>514.42250000000013</v>
      </c>
      <c r="Z35" s="12">
        <f>Y35/V35</f>
        <v>0.19899116203009304</v>
      </c>
      <c r="AA35" t="s">
        <v>32</v>
      </c>
      <c r="AB35" t="s">
        <v>33</v>
      </c>
      <c r="AC35" s="14" t="s">
        <v>2794</v>
      </c>
      <c r="AD35" t="s">
        <v>2782</v>
      </c>
      <c r="AE35" t="str">
        <f>PROPER(TRIM(AB35))</f>
        <v>Completed</v>
      </c>
      <c r="AS35" t="str">
        <f t="shared" si="2"/>
        <v/>
      </c>
    </row>
    <row r="36" spans="1:45">
      <c r="A36" t="s">
        <v>202</v>
      </c>
      <c r="B36" s="7">
        <v>45688</v>
      </c>
      <c r="C36" s="4">
        <v>45693</v>
      </c>
      <c r="D36">
        <f>C36-B36</f>
        <v>5</v>
      </c>
      <c r="E36" t="str">
        <f>TEXT(B36,"mmmm")</f>
        <v>January</v>
      </c>
      <c r="F36">
        <f>YEAR(B36)</f>
        <v>2025</v>
      </c>
      <c r="G36" t="s">
        <v>203</v>
      </c>
      <c r="H36" t="s">
        <v>114</v>
      </c>
      <c r="I36" t="s">
        <v>95</v>
      </c>
      <c r="J36" t="s">
        <v>38</v>
      </c>
      <c r="K36" t="s">
        <v>99</v>
      </c>
      <c r="L36" t="s">
        <v>100</v>
      </c>
      <c r="M36" t="s">
        <v>41</v>
      </c>
      <c r="N36" t="s">
        <v>66</v>
      </c>
      <c r="O36" t="s">
        <v>204</v>
      </c>
      <c r="P36" t="s">
        <v>2783</v>
      </c>
      <c r="Q36">
        <v>2</v>
      </c>
      <c r="R36">
        <v>4159.6899999999996</v>
      </c>
      <c r="S36">
        <v>0.2</v>
      </c>
      <c r="T36" s="12">
        <f>S36</f>
        <v>0.2</v>
      </c>
      <c r="U36">
        <v>6655.5</v>
      </c>
      <c r="V36">
        <f>Q36*R36*(1-S36)</f>
        <v>6655.5039999999999</v>
      </c>
      <c r="W36">
        <v>4340.21</v>
      </c>
      <c r="X36">
        <v>2607.3200000000002</v>
      </c>
      <c r="Y36">
        <f>V36-W36</f>
        <v>2315.2939999999999</v>
      </c>
      <c r="Z36" s="12">
        <f>Y36/V36</f>
        <v>0.34787658455317583</v>
      </c>
      <c r="AA36" t="s">
        <v>32</v>
      </c>
      <c r="AB36" t="s">
        <v>33</v>
      </c>
      <c r="AC36" s="10" t="s">
        <v>2795</v>
      </c>
      <c r="AD36" t="s">
        <v>2782</v>
      </c>
      <c r="AE36" t="str">
        <f>PROPER(TRIM(AB36))</f>
        <v>Completed</v>
      </c>
      <c r="AS36" t="str">
        <f t="shared" si="2"/>
        <v/>
      </c>
    </row>
    <row r="37" spans="1:45">
      <c r="A37" t="s">
        <v>205</v>
      </c>
      <c r="B37" s="7">
        <v>45441</v>
      </c>
      <c r="C37" s="4">
        <v>45441</v>
      </c>
      <c r="D37">
        <f>C37-B37</f>
        <v>0</v>
      </c>
      <c r="E37" t="str">
        <f>TEXT(B37,"mmmm")</f>
        <v>May</v>
      </c>
      <c r="F37">
        <f>YEAR(B37)</f>
        <v>2024</v>
      </c>
      <c r="G37" t="s">
        <v>206</v>
      </c>
      <c r="H37" t="s">
        <v>132</v>
      </c>
      <c r="I37" t="s">
        <v>37</v>
      </c>
      <c r="J37" t="s">
        <v>63</v>
      </c>
      <c r="K37" t="s">
        <v>180</v>
      </c>
      <c r="L37" t="s">
        <v>181</v>
      </c>
      <c r="M37" t="s">
        <v>41</v>
      </c>
      <c r="N37" t="s">
        <v>158</v>
      </c>
      <c r="O37" t="s">
        <v>207</v>
      </c>
      <c r="P37" t="s">
        <v>31</v>
      </c>
      <c r="Q37">
        <v>8</v>
      </c>
      <c r="R37">
        <v>2507.12</v>
      </c>
      <c r="S37">
        <v>0.05</v>
      </c>
      <c r="T37" s="12">
        <f>S37</f>
        <v>0.05</v>
      </c>
      <c r="U37">
        <v>19054.11</v>
      </c>
      <c r="V37">
        <f>Q37*R37*(1-S37)</f>
        <v>19054.111999999997</v>
      </c>
      <c r="W37">
        <v>15313.83</v>
      </c>
      <c r="X37">
        <v>3740.28</v>
      </c>
      <c r="Y37">
        <f>V37-W37</f>
        <v>3740.2819999999974</v>
      </c>
      <c r="Z37" s="12">
        <f>Y37/V37</f>
        <v>0.19629789097492437</v>
      </c>
      <c r="AA37" t="s">
        <v>111</v>
      </c>
      <c r="AB37" t="s">
        <v>103</v>
      </c>
      <c r="AC37" s="14" t="s">
        <v>2794</v>
      </c>
      <c r="AD37" t="s">
        <v>2782</v>
      </c>
      <c r="AE37" t="str">
        <f>PROPER(TRIM(AB37))</f>
        <v>Returned</v>
      </c>
      <c r="AS37" t="str">
        <f t="shared" si="2"/>
        <v/>
      </c>
    </row>
    <row r="38" spans="1:45">
      <c r="A38" t="s">
        <v>208</v>
      </c>
      <c r="B38" s="7">
        <v>45590</v>
      </c>
      <c r="C38" s="4">
        <v>45593</v>
      </c>
      <c r="D38">
        <f>C38-B38</f>
        <v>3</v>
      </c>
      <c r="E38" t="str">
        <f>TEXT(B38,"mmmm")</f>
        <v>October</v>
      </c>
      <c r="F38">
        <f>YEAR(B38)</f>
        <v>2024</v>
      </c>
      <c r="G38" t="s">
        <v>209</v>
      </c>
      <c r="H38" t="s">
        <v>141</v>
      </c>
      <c r="I38" t="s">
        <v>90</v>
      </c>
      <c r="J38" t="s">
        <v>63</v>
      </c>
      <c r="K38" t="s">
        <v>64</v>
      </c>
      <c r="L38" t="s">
        <v>65</v>
      </c>
      <c r="M38" t="s">
        <v>41</v>
      </c>
      <c r="N38" t="s">
        <v>158</v>
      </c>
      <c r="O38" t="s">
        <v>210</v>
      </c>
      <c r="P38" t="s">
        <v>31</v>
      </c>
      <c r="Q38">
        <v>3</v>
      </c>
      <c r="R38">
        <v>3126.47</v>
      </c>
      <c r="S38">
        <v>0</v>
      </c>
      <c r="T38" s="12">
        <f>S38</f>
        <v>0</v>
      </c>
      <c r="U38">
        <v>9379.41</v>
      </c>
      <c r="V38">
        <f>Q38*R38*(1-S38)</f>
        <v>9379.41</v>
      </c>
      <c r="W38">
        <v>6670.85</v>
      </c>
      <c r="X38">
        <v>2708.56</v>
      </c>
      <c r="Y38">
        <f>V38-W38</f>
        <v>2708.5599999999995</v>
      </c>
      <c r="Z38" s="12">
        <f>Y38/V38</f>
        <v>0.28877722585962223</v>
      </c>
      <c r="AA38" t="s">
        <v>32</v>
      </c>
      <c r="AB38" t="s">
        <v>103</v>
      </c>
      <c r="AC38" s="14" t="s">
        <v>2794</v>
      </c>
      <c r="AD38" t="s">
        <v>2782</v>
      </c>
      <c r="AE38" t="str">
        <f>PROPER(TRIM(AB38))</f>
        <v>Returned</v>
      </c>
      <c r="AS38" t="str">
        <f t="shared" si="2"/>
        <v/>
      </c>
    </row>
    <row r="39" spans="1:45">
      <c r="A39" t="s">
        <v>211</v>
      </c>
      <c r="B39" s="7">
        <v>45867</v>
      </c>
      <c r="C39" s="4">
        <v>45867</v>
      </c>
      <c r="D39">
        <f>C39-B39</f>
        <v>0</v>
      </c>
      <c r="E39" t="str">
        <f>TEXT(B39,"mmmm")</f>
        <v>July</v>
      </c>
      <c r="F39">
        <f>YEAR(B39)</f>
        <v>2025</v>
      </c>
      <c r="G39" t="s">
        <v>212</v>
      </c>
      <c r="H39" t="s">
        <v>162</v>
      </c>
      <c r="I39" t="s">
        <v>24</v>
      </c>
      <c r="J39" t="s">
        <v>63</v>
      </c>
      <c r="K39" t="s">
        <v>64</v>
      </c>
      <c r="L39" t="s">
        <v>65</v>
      </c>
      <c r="M39" t="s">
        <v>74</v>
      </c>
      <c r="N39" t="s">
        <v>80</v>
      </c>
      <c r="O39" t="s">
        <v>213</v>
      </c>
      <c r="P39" t="s">
        <v>59</v>
      </c>
      <c r="Q39">
        <v>4</v>
      </c>
      <c r="R39">
        <v>1327.54</v>
      </c>
      <c r="S39">
        <v>0.2</v>
      </c>
      <c r="T39" s="12">
        <f>S39</f>
        <v>0.2</v>
      </c>
      <c r="U39">
        <v>4248.13</v>
      </c>
      <c r="V39">
        <f>Q39*R39*(1-S39)</f>
        <v>4248.1279999999997</v>
      </c>
      <c r="W39">
        <v>3321.09</v>
      </c>
      <c r="X39">
        <v>927.04</v>
      </c>
      <c r="Y39">
        <f>V39-W39</f>
        <v>927.03799999999956</v>
      </c>
      <c r="Z39" s="12">
        <f>Y39/V39</f>
        <v>0.21822270892025844</v>
      </c>
      <c r="AA39" t="s">
        <v>32</v>
      </c>
      <c r="AB39" t="s">
        <v>33</v>
      </c>
      <c r="AC39" s="14" t="s">
        <v>2794</v>
      </c>
      <c r="AD39" t="s">
        <v>2782</v>
      </c>
      <c r="AE39" t="str">
        <f>PROPER(TRIM(AB39))</f>
        <v>Completed</v>
      </c>
      <c r="AS39" t="str">
        <f t="shared" si="2"/>
        <v/>
      </c>
    </row>
    <row r="40" spans="1:45">
      <c r="A40" t="s">
        <v>214</v>
      </c>
      <c r="B40" s="7">
        <v>45460</v>
      </c>
      <c r="C40" s="4">
        <v>45465</v>
      </c>
      <c r="D40">
        <f>C40-B40</f>
        <v>5</v>
      </c>
      <c r="E40" t="str">
        <f>TEXT(B40,"mmmm")</f>
        <v>June</v>
      </c>
      <c r="F40">
        <f>YEAR(B40)</f>
        <v>2024</v>
      </c>
      <c r="G40" t="s">
        <v>215</v>
      </c>
      <c r="H40" t="s">
        <v>128</v>
      </c>
      <c r="I40" t="s">
        <v>90</v>
      </c>
      <c r="J40" t="s">
        <v>63</v>
      </c>
      <c r="K40" t="s">
        <v>180</v>
      </c>
      <c r="L40" t="s">
        <v>181</v>
      </c>
      <c r="M40" t="s">
        <v>74</v>
      </c>
      <c r="N40" t="s">
        <v>171</v>
      </c>
      <c r="O40" t="s">
        <v>216</v>
      </c>
      <c r="P40" t="s">
        <v>50</v>
      </c>
      <c r="Q40">
        <v>7</v>
      </c>
      <c r="R40">
        <v>2210.6799999999998</v>
      </c>
      <c r="S40">
        <v>0.1</v>
      </c>
      <c r="T40" s="12">
        <f>S40</f>
        <v>0.1</v>
      </c>
      <c r="U40">
        <v>13927.28</v>
      </c>
      <c r="V40">
        <f>Q40*R40*(1-S40)</f>
        <v>13927.284</v>
      </c>
      <c r="W40">
        <v>10504.87</v>
      </c>
      <c r="X40">
        <v>3422.41</v>
      </c>
      <c r="Y40">
        <f>V40-W40</f>
        <v>3422.4139999999989</v>
      </c>
      <c r="Z40" s="12">
        <f>Y40/V40</f>
        <v>0.24573448778670692</v>
      </c>
      <c r="AA40" t="s">
        <v>32</v>
      </c>
      <c r="AB40" t="s">
        <v>33</v>
      </c>
      <c r="AC40" s="14" t="s">
        <v>2794</v>
      </c>
      <c r="AD40" t="s">
        <v>2782</v>
      </c>
      <c r="AE40" t="str">
        <f>PROPER(TRIM(AB40))</f>
        <v>Completed</v>
      </c>
      <c r="AS40" t="str">
        <f t="shared" si="2"/>
        <v/>
      </c>
    </row>
    <row r="41" spans="1:45">
      <c r="A41" t="s">
        <v>217</v>
      </c>
      <c r="B41" s="7">
        <v>45608</v>
      </c>
      <c r="C41" s="4">
        <v>45637</v>
      </c>
      <c r="D41">
        <f>C41-B41</f>
        <v>29</v>
      </c>
      <c r="E41" t="str">
        <f>TEXT(B41,"mmmm")</f>
        <v>November</v>
      </c>
      <c r="F41">
        <f>YEAR(B41)</f>
        <v>2024</v>
      </c>
      <c r="G41" t="s">
        <v>218</v>
      </c>
      <c r="H41" t="s">
        <v>36</v>
      </c>
      <c r="I41" t="s">
        <v>37</v>
      </c>
      <c r="J41" t="s">
        <v>63</v>
      </c>
      <c r="K41" t="s">
        <v>72</v>
      </c>
      <c r="L41" t="s">
        <v>73</v>
      </c>
      <c r="M41" t="s">
        <v>74</v>
      </c>
      <c r="N41" t="s">
        <v>80</v>
      </c>
      <c r="O41" t="s">
        <v>219</v>
      </c>
      <c r="P41" t="s">
        <v>50</v>
      </c>
      <c r="Q41">
        <v>4</v>
      </c>
      <c r="R41">
        <v>1370.92</v>
      </c>
      <c r="S41">
        <v>0.1</v>
      </c>
      <c r="T41" s="12">
        <f>S41</f>
        <v>0.1</v>
      </c>
      <c r="U41">
        <v>4935.3100000000004</v>
      </c>
      <c r="V41">
        <f>Q41*R41*(1-S41)</f>
        <v>4935.3120000000008</v>
      </c>
      <c r="W41">
        <v>3374.77</v>
      </c>
      <c r="X41">
        <v>1560.54</v>
      </c>
      <c r="Y41">
        <f>V41-W41</f>
        <v>1560.5420000000008</v>
      </c>
      <c r="Z41" s="12">
        <f>Y41/V41</f>
        <v>0.31619925954022776</v>
      </c>
      <c r="AA41" t="s">
        <v>111</v>
      </c>
      <c r="AB41" t="s">
        <v>103</v>
      </c>
      <c r="AC41" s="14" t="s">
        <v>2794</v>
      </c>
      <c r="AD41" t="s">
        <v>2782</v>
      </c>
      <c r="AE41" t="str">
        <f>PROPER(TRIM(AB41))</f>
        <v>Returned</v>
      </c>
      <c r="AS41" t="str">
        <f t="shared" si="2"/>
        <v/>
      </c>
    </row>
    <row r="42" spans="1:45">
      <c r="A42" t="s">
        <v>220</v>
      </c>
      <c r="B42" s="7">
        <v>45575</v>
      </c>
      <c r="C42" s="4">
        <v>45581</v>
      </c>
      <c r="D42">
        <f>C42-B42</f>
        <v>6</v>
      </c>
      <c r="E42" t="str">
        <f>TEXT(B42,"mmmm")</f>
        <v>October</v>
      </c>
      <c r="F42">
        <f>YEAR(B42)</f>
        <v>2024</v>
      </c>
      <c r="G42" t="s">
        <v>221</v>
      </c>
      <c r="H42" t="s">
        <v>47</v>
      </c>
      <c r="I42" t="s">
        <v>95</v>
      </c>
      <c r="J42" t="s">
        <v>63</v>
      </c>
      <c r="K42" t="s">
        <v>26</v>
      </c>
      <c r="L42" t="s">
        <v>109</v>
      </c>
      <c r="M42" t="s">
        <v>74</v>
      </c>
      <c r="N42" t="s">
        <v>80</v>
      </c>
      <c r="O42" t="s">
        <v>222</v>
      </c>
      <c r="P42" t="s">
        <v>59</v>
      </c>
      <c r="Q42">
        <v>7</v>
      </c>
      <c r="R42">
        <v>2509.27</v>
      </c>
      <c r="S42">
        <v>0.2</v>
      </c>
      <c r="T42" s="12">
        <f>S42</f>
        <v>0.2</v>
      </c>
      <c r="U42">
        <v>14051.91</v>
      </c>
      <c r="V42">
        <f>Q42*R42*(1-S42)</f>
        <v>14051.912</v>
      </c>
      <c r="W42">
        <v>11990.37</v>
      </c>
      <c r="X42">
        <v>2061.54</v>
      </c>
      <c r="Y42">
        <f>V42-W42</f>
        <v>2061.5419999999995</v>
      </c>
      <c r="Z42" s="12">
        <f>Y42/V42</f>
        <v>0.14670900301681361</v>
      </c>
      <c r="AA42" t="s">
        <v>32</v>
      </c>
      <c r="AB42" t="s">
        <v>33</v>
      </c>
      <c r="AC42" s="14" t="s">
        <v>2794</v>
      </c>
      <c r="AD42" t="s">
        <v>2782</v>
      </c>
      <c r="AE42" t="str">
        <f>PROPER(TRIM(AB42))</f>
        <v>Completed</v>
      </c>
      <c r="AS42" t="str">
        <f t="shared" si="2"/>
        <v/>
      </c>
    </row>
    <row r="43" spans="1:45">
      <c r="A43" t="s">
        <v>223</v>
      </c>
      <c r="B43" s="7">
        <v>45629</v>
      </c>
      <c r="C43" s="4">
        <v>45368</v>
      </c>
      <c r="D43" s="10">
        <f>C43-B43</f>
        <v>-261</v>
      </c>
      <c r="E43" t="str">
        <f>TEXT(B43,"mmmm")</f>
        <v>December</v>
      </c>
      <c r="F43">
        <f>YEAR(B43)</f>
        <v>2024</v>
      </c>
      <c r="G43" t="s">
        <v>224</v>
      </c>
      <c r="H43" t="s">
        <v>128</v>
      </c>
      <c r="I43" t="s">
        <v>37</v>
      </c>
      <c r="J43" t="s">
        <v>38</v>
      </c>
      <c r="K43" t="s">
        <v>39</v>
      </c>
      <c r="L43" t="s">
        <v>40</v>
      </c>
      <c r="M43" t="s">
        <v>41</v>
      </c>
      <c r="N43" t="s">
        <v>158</v>
      </c>
      <c r="O43" t="s">
        <v>225</v>
      </c>
      <c r="P43" t="s">
        <v>44</v>
      </c>
      <c r="Q43">
        <v>8</v>
      </c>
      <c r="R43">
        <v>855.81</v>
      </c>
      <c r="S43">
        <v>0</v>
      </c>
      <c r="T43" s="12">
        <f>S43</f>
        <v>0</v>
      </c>
      <c r="U43">
        <v>6846.48</v>
      </c>
      <c r="V43">
        <f>Q43*R43*(1-S43)</f>
        <v>6846.48</v>
      </c>
      <c r="W43">
        <v>4239.8900000000003</v>
      </c>
      <c r="X43">
        <v>2606.59</v>
      </c>
      <c r="Y43">
        <f>V43-W43</f>
        <v>2606.5899999999992</v>
      </c>
      <c r="Z43" s="12">
        <f>Y43/V43</f>
        <v>0.38071972750961069</v>
      </c>
      <c r="AA43" t="s">
        <v>111</v>
      </c>
      <c r="AB43" t="s">
        <v>68</v>
      </c>
      <c r="AC43" s="10" t="s">
        <v>2792</v>
      </c>
      <c r="AD43" t="s">
        <v>2782</v>
      </c>
      <c r="AE43" t="str">
        <f>PROPER(TRIM(AB43))</f>
        <v>Cancelled</v>
      </c>
      <c r="AS43" t="str">
        <f t="shared" si="2"/>
        <v/>
      </c>
    </row>
    <row r="44" spans="1:45">
      <c r="A44" t="s">
        <v>226</v>
      </c>
      <c r="B44" s="7">
        <v>45940</v>
      </c>
      <c r="C44" s="4">
        <v>45945</v>
      </c>
      <c r="D44">
        <f>C44-B44</f>
        <v>5</v>
      </c>
      <c r="E44" t="str">
        <f>TEXT(B44,"mmmm")</f>
        <v>October</v>
      </c>
      <c r="F44">
        <f>YEAR(B44)</f>
        <v>2025</v>
      </c>
      <c r="G44" t="s">
        <v>227</v>
      </c>
      <c r="H44" t="s">
        <v>53</v>
      </c>
      <c r="I44" t="s">
        <v>90</v>
      </c>
      <c r="J44" t="s">
        <v>38</v>
      </c>
      <c r="K44" t="s">
        <v>228</v>
      </c>
      <c r="L44" t="s">
        <v>229</v>
      </c>
      <c r="M44" t="s">
        <v>74</v>
      </c>
      <c r="N44" t="s">
        <v>171</v>
      </c>
      <c r="O44" t="s">
        <v>230</v>
      </c>
      <c r="P44" t="s">
        <v>59</v>
      </c>
      <c r="Q44">
        <v>8</v>
      </c>
      <c r="R44">
        <v>979.87</v>
      </c>
      <c r="S44">
        <v>0.05</v>
      </c>
      <c r="T44" s="12">
        <f>S44</f>
        <v>0.05</v>
      </c>
      <c r="U44">
        <v>7447.01</v>
      </c>
      <c r="V44">
        <f>Q44*R44*(1-S44)</f>
        <v>7447.0119999999997</v>
      </c>
      <c r="W44">
        <v>4496.22</v>
      </c>
      <c r="X44">
        <v>2950.79</v>
      </c>
      <c r="Y44">
        <f>V44-W44</f>
        <v>2950.7919999999995</v>
      </c>
      <c r="Z44" s="12">
        <f>Y44/V44</f>
        <v>0.39623838393170302</v>
      </c>
      <c r="AA44" t="s">
        <v>32</v>
      </c>
      <c r="AB44" t="s">
        <v>33</v>
      </c>
      <c r="AC44" s="14" t="s">
        <v>2794</v>
      </c>
      <c r="AD44" t="s">
        <v>2782</v>
      </c>
      <c r="AE44" t="str">
        <f>PROPER(TRIM(AB44))</f>
        <v>Completed</v>
      </c>
      <c r="AS44" t="str">
        <f t="shared" si="2"/>
        <v/>
      </c>
    </row>
    <row r="45" spans="1:45">
      <c r="A45" t="s">
        <v>231</v>
      </c>
      <c r="B45" s="7">
        <v>45511</v>
      </c>
      <c r="C45" s="4">
        <v>45487</v>
      </c>
      <c r="D45" s="10">
        <f>C45-B45</f>
        <v>-24</v>
      </c>
      <c r="E45" t="str">
        <f>TEXT(B45,"mmmm")</f>
        <v>August</v>
      </c>
      <c r="F45">
        <f>YEAR(B45)</f>
        <v>2024</v>
      </c>
      <c r="G45" t="s">
        <v>232</v>
      </c>
      <c r="H45" t="s">
        <v>114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N45" t="s">
        <v>57</v>
      </c>
      <c r="O45" t="s">
        <v>233</v>
      </c>
      <c r="P45" t="s">
        <v>44</v>
      </c>
      <c r="Q45">
        <v>3</v>
      </c>
      <c r="R45">
        <v>1010.23</v>
      </c>
      <c r="S45">
        <v>0</v>
      </c>
      <c r="T45" s="12">
        <f>S45</f>
        <v>0</v>
      </c>
      <c r="U45">
        <v>3030.69</v>
      </c>
      <c r="V45">
        <f>Q45*R45*(1-S45)</f>
        <v>3030.69</v>
      </c>
      <c r="W45">
        <v>1721.08</v>
      </c>
      <c r="X45">
        <v>1309.6099999999999</v>
      </c>
      <c r="Y45">
        <f>V45-W45</f>
        <v>1309.6100000000001</v>
      </c>
      <c r="Z45" s="12">
        <f>Y45/V45</f>
        <v>0.43211611877163292</v>
      </c>
      <c r="AA45" t="s">
        <v>32</v>
      </c>
      <c r="AB45" t="s">
        <v>33</v>
      </c>
      <c r="AC45" s="10" t="s">
        <v>2792</v>
      </c>
      <c r="AD45" t="s">
        <v>2782</v>
      </c>
      <c r="AE45" t="str">
        <f>PROPER(TRIM(AB45))</f>
        <v>Completed</v>
      </c>
      <c r="AS45" t="str">
        <f t="shared" si="2"/>
        <v/>
      </c>
    </row>
    <row r="46" spans="1:45">
      <c r="A46" t="s">
        <v>234</v>
      </c>
      <c r="B46" s="7">
        <v>45465</v>
      </c>
      <c r="C46" s="4">
        <v>45468</v>
      </c>
      <c r="D46">
        <f>C46-B46</f>
        <v>3</v>
      </c>
      <c r="E46" t="str">
        <f>TEXT(B46,"mmmm")</f>
        <v>June</v>
      </c>
      <c r="F46">
        <f>YEAR(B46)</f>
        <v>2024</v>
      </c>
      <c r="G46" t="s">
        <v>235</v>
      </c>
      <c r="H46" t="s">
        <v>141</v>
      </c>
      <c r="I46" t="s">
        <v>37</v>
      </c>
      <c r="J46" t="s">
        <v>25</v>
      </c>
      <c r="K46" t="s">
        <v>236</v>
      </c>
      <c r="L46" t="s">
        <v>237</v>
      </c>
      <c r="M46" t="s">
        <v>41</v>
      </c>
      <c r="N46" t="s">
        <v>66</v>
      </c>
      <c r="O46" t="s">
        <v>238</v>
      </c>
      <c r="P46" t="s">
        <v>59</v>
      </c>
      <c r="Q46">
        <v>9</v>
      </c>
      <c r="R46">
        <v>3329.77</v>
      </c>
      <c r="S46">
        <v>0.1</v>
      </c>
      <c r="T46" s="12">
        <f>S46</f>
        <v>0.1</v>
      </c>
      <c r="U46">
        <v>26971.14</v>
      </c>
      <c r="V46">
        <f>Q46*R46*(1-S46)</f>
        <v>26971.137000000002</v>
      </c>
      <c r="W46">
        <v>17376.2</v>
      </c>
      <c r="X46">
        <v>9594.94</v>
      </c>
      <c r="Y46">
        <f>V46-W46</f>
        <v>9594.9370000000017</v>
      </c>
      <c r="Z46" s="12">
        <f>Y46/V46</f>
        <v>0.35574833200394929</v>
      </c>
      <c r="AA46" t="s">
        <v>32</v>
      </c>
      <c r="AB46" t="s">
        <v>33</v>
      </c>
      <c r="AC46" s="14" t="s">
        <v>2794</v>
      </c>
      <c r="AD46" t="s">
        <v>2782</v>
      </c>
      <c r="AE46" t="str">
        <f>PROPER(TRIM(AB46))</f>
        <v>Completed</v>
      </c>
      <c r="AS46" t="str">
        <f t="shared" si="2"/>
        <v/>
      </c>
    </row>
    <row r="47" spans="1:45">
      <c r="A47" t="s">
        <v>239</v>
      </c>
      <c r="B47" s="7">
        <v>45309</v>
      </c>
      <c r="C47" s="4">
        <v>45315</v>
      </c>
      <c r="D47">
        <f>C47-B47</f>
        <v>6</v>
      </c>
      <c r="E47" t="str">
        <f>TEXT(B47,"mmmm")</f>
        <v>January</v>
      </c>
      <c r="F47">
        <f>YEAR(B47)</f>
        <v>2024</v>
      </c>
      <c r="G47" t="s">
        <v>240</v>
      </c>
      <c r="H47" t="s">
        <v>47</v>
      </c>
      <c r="I47" t="s">
        <v>95</v>
      </c>
      <c r="J47" t="s">
        <v>38</v>
      </c>
      <c r="K47" t="s">
        <v>145</v>
      </c>
      <c r="L47" t="s">
        <v>146</v>
      </c>
      <c r="M47" t="s">
        <v>28</v>
      </c>
      <c r="N47" t="s">
        <v>48</v>
      </c>
      <c r="O47" t="s">
        <v>241</v>
      </c>
      <c r="P47" t="s">
        <v>31</v>
      </c>
      <c r="Q47">
        <v>8</v>
      </c>
      <c r="R47">
        <v>3927.82</v>
      </c>
      <c r="S47">
        <v>0.05</v>
      </c>
      <c r="T47" s="12">
        <f>S47</f>
        <v>0.05</v>
      </c>
      <c r="U47">
        <v>29851.43</v>
      </c>
      <c r="V47">
        <f>Q47*R47*(1-S47)</f>
        <v>29851.432000000001</v>
      </c>
      <c r="W47">
        <v>17487.48</v>
      </c>
      <c r="X47">
        <v>12363.95</v>
      </c>
      <c r="Y47">
        <f>V47-W47</f>
        <v>12363.952000000001</v>
      </c>
      <c r="Z47" s="12">
        <f>Y47/V47</f>
        <v>0.41418287739094062</v>
      </c>
      <c r="AA47" t="s">
        <v>111</v>
      </c>
      <c r="AB47" t="s">
        <v>103</v>
      </c>
      <c r="AC47" s="14" t="s">
        <v>2794</v>
      </c>
      <c r="AD47" t="s">
        <v>2782</v>
      </c>
      <c r="AE47" t="str">
        <f>PROPER(TRIM(AB47))</f>
        <v>Returned</v>
      </c>
      <c r="AS47" t="str">
        <f t="shared" si="2"/>
        <v/>
      </c>
    </row>
    <row r="48" spans="1:45">
      <c r="A48" t="s">
        <v>242</v>
      </c>
      <c r="B48" s="7">
        <v>45492</v>
      </c>
      <c r="C48" s="4">
        <v>45492</v>
      </c>
      <c r="D48">
        <f>C48-B48</f>
        <v>0</v>
      </c>
      <c r="E48" t="str">
        <f>TEXT(B48,"mmmm")</f>
        <v>July</v>
      </c>
      <c r="F48">
        <f>YEAR(B48)</f>
        <v>2024</v>
      </c>
      <c r="G48" t="s">
        <v>243</v>
      </c>
      <c r="H48" t="s">
        <v>62</v>
      </c>
      <c r="I48" t="s">
        <v>37</v>
      </c>
      <c r="J48" t="s">
        <v>54</v>
      </c>
      <c r="K48" t="s">
        <v>185</v>
      </c>
      <c r="L48" t="s">
        <v>186</v>
      </c>
      <c r="M48" t="s">
        <v>41</v>
      </c>
      <c r="N48" t="s">
        <v>158</v>
      </c>
      <c r="O48" t="s">
        <v>244</v>
      </c>
      <c r="P48" t="s">
        <v>59</v>
      </c>
      <c r="Q48">
        <v>9</v>
      </c>
      <c r="R48">
        <v>2386.79</v>
      </c>
      <c r="S48">
        <v>0.25</v>
      </c>
      <c r="T48" s="12">
        <f>S48</f>
        <v>0.25</v>
      </c>
      <c r="U48">
        <v>16110.83</v>
      </c>
      <c r="V48">
        <f>Q48*R48*(1-S48)</f>
        <v>16110.8325</v>
      </c>
      <c r="W48">
        <v>10680.03</v>
      </c>
      <c r="X48">
        <v>5430.8</v>
      </c>
      <c r="Y48">
        <f>V48-W48</f>
        <v>5430.8024999999998</v>
      </c>
      <c r="Z48" s="12">
        <f>Y48/V48</f>
        <v>0.33709012243780695</v>
      </c>
      <c r="AA48" t="s">
        <v>102</v>
      </c>
      <c r="AB48" t="s">
        <v>103</v>
      </c>
      <c r="AC48" s="14" t="s">
        <v>2794</v>
      </c>
      <c r="AD48" t="s">
        <v>2782</v>
      </c>
      <c r="AE48" t="str">
        <f>PROPER(TRIM(AB48))</f>
        <v>Returned</v>
      </c>
      <c r="AS48" t="str">
        <f t="shared" si="2"/>
        <v/>
      </c>
    </row>
    <row r="49" spans="1:45">
      <c r="A49" t="s">
        <v>245</v>
      </c>
      <c r="B49" s="7">
        <v>45516</v>
      </c>
      <c r="C49" s="4">
        <v>45516</v>
      </c>
      <c r="D49">
        <f>C49-B49</f>
        <v>0</v>
      </c>
      <c r="E49" t="str">
        <f>TEXT(B49,"mmmm")</f>
        <v>August</v>
      </c>
      <c r="F49">
        <f>YEAR(B49)</f>
        <v>2024</v>
      </c>
      <c r="G49" t="s">
        <v>246</v>
      </c>
      <c r="H49" t="s">
        <v>118</v>
      </c>
      <c r="I49" t="s">
        <v>90</v>
      </c>
      <c r="J49" t="s">
        <v>54</v>
      </c>
      <c r="K49" t="s">
        <v>247</v>
      </c>
      <c r="L49" t="s">
        <v>248</v>
      </c>
      <c r="M49" t="s">
        <v>28</v>
      </c>
      <c r="N49" t="s">
        <v>124</v>
      </c>
      <c r="O49" t="s">
        <v>249</v>
      </c>
      <c r="P49" t="s">
        <v>59</v>
      </c>
      <c r="Q49">
        <v>8</v>
      </c>
      <c r="R49">
        <v>2445.31</v>
      </c>
      <c r="S49">
        <v>0.1</v>
      </c>
      <c r="T49" s="12">
        <f>S49</f>
        <v>0.1</v>
      </c>
      <c r="U49">
        <v>17606.23</v>
      </c>
      <c r="V49">
        <f>Q49*R49*(1-S49)</f>
        <v>17606.232</v>
      </c>
      <c r="W49">
        <v>12438.96</v>
      </c>
      <c r="X49">
        <v>5167.2700000000004</v>
      </c>
      <c r="Y49">
        <f>V49-W49</f>
        <v>5167.2720000000008</v>
      </c>
      <c r="Z49" s="12">
        <f>Y49/V49</f>
        <v>0.29349107747756592</v>
      </c>
      <c r="AA49" t="s">
        <v>32</v>
      </c>
      <c r="AB49" t="s">
        <v>33</v>
      </c>
      <c r="AC49" s="14" t="s">
        <v>2794</v>
      </c>
      <c r="AD49" t="s">
        <v>2782</v>
      </c>
      <c r="AE49" t="str">
        <f>PROPER(TRIM(AB49))</f>
        <v>Completed</v>
      </c>
      <c r="AS49" t="str">
        <f t="shared" si="2"/>
        <v/>
      </c>
    </row>
    <row r="50" spans="1:45">
      <c r="A50" t="s">
        <v>250</v>
      </c>
      <c r="B50" s="7">
        <v>45687</v>
      </c>
      <c r="C50" s="4">
        <v>45693</v>
      </c>
      <c r="D50">
        <f>C50-B50</f>
        <v>6</v>
      </c>
      <c r="E50" t="str">
        <f>TEXT(B50,"mmmm")</f>
        <v>January</v>
      </c>
      <c r="F50">
        <f>YEAR(B50)</f>
        <v>2025</v>
      </c>
      <c r="G50" t="s">
        <v>251</v>
      </c>
      <c r="H50" t="s">
        <v>79</v>
      </c>
      <c r="I50" t="s">
        <v>90</v>
      </c>
      <c r="J50" t="s">
        <v>63</v>
      </c>
      <c r="K50" t="s">
        <v>64</v>
      </c>
      <c r="L50" t="s">
        <v>65</v>
      </c>
      <c r="M50" t="s">
        <v>41</v>
      </c>
      <c r="N50" t="s">
        <v>66</v>
      </c>
      <c r="O50" t="s">
        <v>252</v>
      </c>
      <c r="P50" t="s">
        <v>31</v>
      </c>
      <c r="Q50">
        <v>7</v>
      </c>
      <c r="R50">
        <v>4063.66</v>
      </c>
      <c r="S50">
        <v>0</v>
      </c>
      <c r="T50" s="12">
        <f>S50</f>
        <v>0</v>
      </c>
      <c r="U50">
        <v>28445.62</v>
      </c>
      <c r="V50">
        <f>Q50*R50*(1-S50)</f>
        <v>28445.62</v>
      </c>
      <c r="W50">
        <v>20938.59</v>
      </c>
      <c r="X50">
        <v>7507.03</v>
      </c>
      <c r="Y50">
        <f>V50-W50</f>
        <v>7507.0299999999988</v>
      </c>
      <c r="Z50" s="12">
        <f>Y50/V50</f>
        <v>0.26390811660986818</v>
      </c>
      <c r="AA50" t="s">
        <v>32</v>
      </c>
      <c r="AB50" t="s">
        <v>33</v>
      </c>
      <c r="AC50" s="14" t="s">
        <v>2794</v>
      </c>
      <c r="AD50" t="s">
        <v>2782</v>
      </c>
      <c r="AE50" t="str">
        <f>PROPER(TRIM(AB50))</f>
        <v>Completed</v>
      </c>
      <c r="AS50" t="str">
        <f t="shared" si="2"/>
        <v/>
      </c>
    </row>
    <row r="51" spans="1:45">
      <c r="A51" t="s">
        <v>253</v>
      </c>
      <c r="B51" s="7">
        <v>45388</v>
      </c>
      <c r="C51" s="4">
        <v>45395</v>
      </c>
      <c r="D51">
        <f>C51-B51</f>
        <v>7</v>
      </c>
      <c r="E51" t="str">
        <f>TEXT(B51,"mmmm")</f>
        <v>April</v>
      </c>
      <c r="F51">
        <f>YEAR(B51)</f>
        <v>2024</v>
      </c>
      <c r="G51" t="s">
        <v>254</v>
      </c>
      <c r="H51" t="s">
        <v>128</v>
      </c>
      <c r="I51" t="s">
        <v>95</v>
      </c>
      <c r="J51" t="s">
        <v>25</v>
      </c>
      <c r="K51" t="s">
        <v>136</v>
      </c>
      <c r="L51" t="s">
        <v>137</v>
      </c>
      <c r="M51" t="s">
        <v>74</v>
      </c>
      <c r="N51" t="s">
        <v>80</v>
      </c>
      <c r="O51" t="s">
        <v>255</v>
      </c>
      <c r="P51" t="s">
        <v>31</v>
      </c>
      <c r="Q51">
        <v>9</v>
      </c>
      <c r="R51">
        <v>792.11</v>
      </c>
      <c r="S51">
        <v>0.05</v>
      </c>
      <c r="T51" s="12">
        <f>S51</f>
        <v>0.05</v>
      </c>
      <c r="U51">
        <v>6772.54</v>
      </c>
      <c r="V51">
        <f>Q51*R51*(1-S51)</f>
        <v>6772.5404999999992</v>
      </c>
      <c r="W51">
        <v>5755.46</v>
      </c>
      <c r="X51">
        <v>1017.08</v>
      </c>
      <c r="Y51">
        <f>V51-W51</f>
        <v>1017.0804999999991</v>
      </c>
      <c r="Z51" s="12">
        <f>Y51/V51</f>
        <v>0.15017710119267641</v>
      </c>
      <c r="AA51" t="s">
        <v>32</v>
      </c>
      <c r="AB51" t="s">
        <v>33</v>
      </c>
      <c r="AC51" s="14" t="s">
        <v>2794</v>
      </c>
      <c r="AD51" t="s">
        <v>2782</v>
      </c>
      <c r="AE51" t="str">
        <f>PROPER(TRIM(AB51))</f>
        <v>Completed</v>
      </c>
      <c r="AS51" t="str">
        <f t="shared" si="2"/>
        <v/>
      </c>
    </row>
    <row r="52" spans="1:45">
      <c r="A52" t="s">
        <v>256</v>
      </c>
      <c r="B52" s="7">
        <v>45966</v>
      </c>
      <c r="C52" s="4">
        <v>45796</v>
      </c>
      <c r="D52" s="10">
        <f>C52-B52</f>
        <v>-170</v>
      </c>
      <c r="E52" t="str">
        <f>TEXT(B52,"mmmm")</f>
        <v>November</v>
      </c>
      <c r="F52">
        <f>YEAR(B52)</f>
        <v>2025</v>
      </c>
      <c r="G52" t="s">
        <v>257</v>
      </c>
      <c r="H52" t="s">
        <v>132</v>
      </c>
      <c r="I52" t="s">
        <v>24</v>
      </c>
      <c r="J52" t="s">
        <v>38</v>
      </c>
      <c r="K52" t="s">
        <v>99</v>
      </c>
      <c r="L52" t="s">
        <v>100</v>
      </c>
      <c r="M52" t="s">
        <v>74</v>
      </c>
      <c r="N52" t="s">
        <v>80</v>
      </c>
      <c r="O52" t="s">
        <v>258</v>
      </c>
      <c r="P52" t="s">
        <v>59</v>
      </c>
      <c r="Q52">
        <v>1</v>
      </c>
      <c r="R52">
        <v>2382.8000000000002</v>
      </c>
      <c r="S52">
        <v>0.15</v>
      </c>
      <c r="T52" s="12">
        <f>S52</f>
        <v>0.15</v>
      </c>
      <c r="U52">
        <v>2025.38</v>
      </c>
      <c r="V52">
        <f>Q52*R52*(1-S52)</f>
        <v>2025.38</v>
      </c>
      <c r="W52">
        <v>1140.6500000000001</v>
      </c>
      <c r="X52">
        <v>884.73</v>
      </c>
      <c r="Y52">
        <f>V52-W52</f>
        <v>884.73</v>
      </c>
      <c r="Z52" s="12">
        <f>Y52/V52</f>
        <v>0.43682173221815163</v>
      </c>
      <c r="AA52" t="s">
        <v>32</v>
      </c>
      <c r="AB52" t="s">
        <v>33</v>
      </c>
      <c r="AC52" s="10" t="s">
        <v>2792</v>
      </c>
      <c r="AD52" t="s">
        <v>2782</v>
      </c>
      <c r="AE52" t="str">
        <f>PROPER(TRIM(AB52))</f>
        <v>Completed</v>
      </c>
      <c r="AS52" t="str">
        <f t="shared" si="2"/>
        <v/>
      </c>
    </row>
    <row r="53" spans="1:45">
      <c r="A53" t="s">
        <v>259</v>
      </c>
      <c r="B53" s="7">
        <v>45406</v>
      </c>
      <c r="C53" s="4">
        <v>45411</v>
      </c>
      <c r="D53">
        <f>C53-B53</f>
        <v>5</v>
      </c>
      <c r="E53" t="str">
        <f>TEXT(B53,"mmmm")</f>
        <v>April</v>
      </c>
      <c r="F53">
        <f>YEAR(B53)</f>
        <v>2024</v>
      </c>
      <c r="G53" t="s">
        <v>260</v>
      </c>
      <c r="H53" t="s">
        <v>62</v>
      </c>
      <c r="I53" t="s">
        <v>90</v>
      </c>
      <c r="J53" t="s">
        <v>54</v>
      </c>
      <c r="K53" t="s">
        <v>55</v>
      </c>
      <c r="L53" t="s">
        <v>56</v>
      </c>
      <c r="M53" t="s">
        <v>28</v>
      </c>
      <c r="N53" t="s">
        <v>48</v>
      </c>
      <c r="O53" t="s">
        <v>261</v>
      </c>
      <c r="P53" t="s">
        <v>59</v>
      </c>
      <c r="Q53">
        <v>6</v>
      </c>
      <c r="R53">
        <v>1528.08</v>
      </c>
      <c r="S53">
        <v>0</v>
      </c>
      <c r="T53" s="12">
        <f>S53</f>
        <v>0</v>
      </c>
      <c r="U53">
        <v>9168.48</v>
      </c>
      <c r="V53">
        <f>Q53*R53*(1-S53)</f>
        <v>9168.48</v>
      </c>
      <c r="W53">
        <v>7439.77</v>
      </c>
      <c r="X53">
        <v>1728.71</v>
      </c>
      <c r="Y53">
        <f>V53-W53</f>
        <v>1728.7099999999991</v>
      </c>
      <c r="Z53" s="12">
        <f>Y53/V53</f>
        <v>0.18854924698532355</v>
      </c>
      <c r="AA53" t="s">
        <v>32</v>
      </c>
      <c r="AB53" t="s">
        <v>33</v>
      </c>
      <c r="AC53" s="14" t="s">
        <v>2794</v>
      </c>
      <c r="AD53" t="s">
        <v>2782</v>
      </c>
      <c r="AE53" t="str">
        <f>PROPER(TRIM(AB53))</f>
        <v>Completed</v>
      </c>
      <c r="AS53" t="str">
        <f t="shared" si="2"/>
        <v/>
      </c>
    </row>
    <row r="54" spans="1:45">
      <c r="A54" t="s">
        <v>262</v>
      </c>
      <c r="B54" s="7">
        <v>45591</v>
      </c>
      <c r="C54" s="4">
        <v>45593</v>
      </c>
      <c r="D54">
        <f>C54-B54</f>
        <v>2</v>
      </c>
      <c r="E54" t="str">
        <f>TEXT(B54,"mmmm")</f>
        <v>October</v>
      </c>
      <c r="F54">
        <f>YEAR(B54)</f>
        <v>2024</v>
      </c>
      <c r="G54" t="s">
        <v>263</v>
      </c>
      <c r="H54" t="s">
        <v>264</v>
      </c>
      <c r="I54" t="s">
        <v>37</v>
      </c>
      <c r="J54" t="s">
        <v>25</v>
      </c>
      <c r="K54" t="s">
        <v>26</v>
      </c>
      <c r="L54" t="s">
        <v>27</v>
      </c>
      <c r="M54" t="s">
        <v>41</v>
      </c>
      <c r="N54" t="s">
        <v>66</v>
      </c>
      <c r="O54" t="s">
        <v>265</v>
      </c>
      <c r="P54" t="s">
        <v>50</v>
      </c>
      <c r="Q54">
        <v>9</v>
      </c>
      <c r="R54">
        <v>1399.63</v>
      </c>
      <c r="S54">
        <v>0</v>
      </c>
      <c r="T54" s="12">
        <f>S54</f>
        <v>0</v>
      </c>
      <c r="U54">
        <v>12596.67</v>
      </c>
      <c r="V54">
        <f>Q54*R54*(1-S54)</f>
        <v>12596.670000000002</v>
      </c>
      <c r="W54">
        <v>10603.29</v>
      </c>
      <c r="X54">
        <v>1993.38</v>
      </c>
      <c r="Y54">
        <f>V54-W54</f>
        <v>1993.380000000001</v>
      </c>
      <c r="Z54" s="12">
        <f>Y54/V54</f>
        <v>0.15824658421630483</v>
      </c>
      <c r="AA54" t="s">
        <v>155</v>
      </c>
      <c r="AB54" t="s">
        <v>68</v>
      </c>
      <c r="AC54" s="14" t="s">
        <v>2794</v>
      </c>
      <c r="AD54" t="s">
        <v>2782</v>
      </c>
      <c r="AE54" t="str">
        <f>PROPER(TRIM(AB54))</f>
        <v>Cancelled</v>
      </c>
      <c r="AS54" t="str">
        <f t="shared" si="2"/>
        <v/>
      </c>
    </row>
    <row r="55" spans="1:45">
      <c r="A55" t="s">
        <v>266</v>
      </c>
      <c r="B55" s="7">
        <v>45747</v>
      </c>
      <c r="C55" s="4">
        <v>45747</v>
      </c>
      <c r="D55">
        <f>C55-B55</f>
        <v>0</v>
      </c>
      <c r="E55" t="str">
        <f>TEXT(B55,"mmmm")</f>
        <v>March</v>
      </c>
      <c r="F55">
        <f>YEAR(B55)</f>
        <v>2025</v>
      </c>
      <c r="G55" t="s">
        <v>267</v>
      </c>
      <c r="H55" t="s">
        <v>264</v>
      </c>
      <c r="I55" t="s">
        <v>95</v>
      </c>
      <c r="J55" t="s">
        <v>63</v>
      </c>
      <c r="K55" t="s">
        <v>180</v>
      </c>
      <c r="L55" t="s">
        <v>181</v>
      </c>
      <c r="M55" t="s">
        <v>28</v>
      </c>
      <c r="N55" t="s">
        <v>124</v>
      </c>
      <c r="O55" t="s">
        <v>268</v>
      </c>
      <c r="P55" t="s">
        <v>50</v>
      </c>
      <c r="Q55">
        <v>5</v>
      </c>
      <c r="R55">
        <v>1207.47</v>
      </c>
      <c r="S55">
        <v>0.15</v>
      </c>
      <c r="T55" s="12">
        <f>S55</f>
        <v>0.15</v>
      </c>
      <c r="U55">
        <v>5131.75</v>
      </c>
      <c r="V55">
        <f>Q55*R55*(1-S55)</f>
        <v>5131.7475000000004</v>
      </c>
      <c r="W55">
        <v>2838.68</v>
      </c>
      <c r="X55">
        <v>2293.0700000000002</v>
      </c>
      <c r="Y55">
        <f>V55-W55</f>
        <v>2293.0675000000006</v>
      </c>
      <c r="Z55" s="12">
        <f>Y55/V55</f>
        <v>0.44683950252813498</v>
      </c>
      <c r="AA55" t="s">
        <v>32</v>
      </c>
      <c r="AB55" t="s">
        <v>33</v>
      </c>
      <c r="AC55" s="14" t="s">
        <v>2794</v>
      </c>
      <c r="AD55" t="s">
        <v>2782</v>
      </c>
      <c r="AE55" t="str">
        <f>PROPER(TRIM(AB55))</f>
        <v>Completed</v>
      </c>
      <c r="AS55" t="str">
        <f t="shared" si="2"/>
        <v/>
      </c>
    </row>
    <row r="56" spans="1:45">
      <c r="A56" t="s">
        <v>269</v>
      </c>
      <c r="B56" s="7">
        <v>45807</v>
      </c>
      <c r="C56" s="4">
        <v>45810</v>
      </c>
      <c r="D56">
        <f>C56-B56</f>
        <v>3</v>
      </c>
      <c r="E56" t="str">
        <f>TEXT(B56,"mmmm")</f>
        <v>May</v>
      </c>
      <c r="F56">
        <f>YEAR(B56)</f>
        <v>2025</v>
      </c>
      <c r="G56" t="s">
        <v>270</v>
      </c>
      <c r="H56" t="s">
        <v>53</v>
      </c>
      <c r="I56" t="s">
        <v>90</v>
      </c>
      <c r="J56" t="s">
        <v>54</v>
      </c>
      <c r="K56" t="s">
        <v>247</v>
      </c>
      <c r="L56" t="s">
        <v>248</v>
      </c>
      <c r="M56" t="s">
        <v>28</v>
      </c>
      <c r="N56" t="s">
        <v>91</v>
      </c>
      <c r="O56" t="s">
        <v>271</v>
      </c>
      <c r="P56" t="s">
        <v>44</v>
      </c>
      <c r="Q56">
        <v>8</v>
      </c>
      <c r="R56">
        <v>474.37</v>
      </c>
      <c r="S56">
        <v>0.1</v>
      </c>
      <c r="T56" s="12">
        <f>S56</f>
        <v>0.1</v>
      </c>
      <c r="U56">
        <v>3415.46</v>
      </c>
      <c r="V56">
        <f>Q56*R56*(1-S56)</f>
        <v>3415.4639999999999</v>
      </c>
      <c r="W56">
        <v>1993.23</v>
      </c>
      <c r="X56">
        <v>1422.23</v>
      </c>
      <c r="Y56">
        <f>V56-W56</f>
        <v>1422.2339999999999</v>
      </c>
      <c r="Z56" s="12">
        <f>Y56/V56</f>
        <v>0.4164101861416194</v>
      </c>
      <c r="AA56" t="s">
        <v>155</v>
      </c>
      <c r="AB56" t="s">
        <v>68</v>
      </c>
      <c r="AC56" s="14" t="s">
        <v>2794</v>
      </c>
      <c r="AD56" t="s">
        <v>2782</v>
      </c>
      <c r="AE56" t="str">
        <f>PROPER(TRIM(AB56))</f>
        <v>Cancelled</v>
      </c>
      <c r="AS56" t="str">
        <f t="shared" si="2"/>
        <v/>
      </c>
    </row>
    <row r="57" spans="1:45">
      <c r="A57" t="s">
        <v>272</v>
      </c>
      <c r="B57" s="7">
        <v>45839</v>
      </c>
      <c r="C57" s="4">
        <v>45841</v>
      </c>
      <c r="D57">
        <f>C57-B57</f>
        <v>2</v>
      </c>
      <c r="E57" t="str">
        <f>TEXT(B57,"mmmm")</f>
        <v>July</v>
      </c>
      <c r="F57">
        <f>YEAR(B57)</f>
        <v>2025</v>
      </c>
      <c r="G57" t="s">
        <v>273</v>
      </c>
      <c r="H57" t="s">
        <v>36</v>
      </c>
      <c r="I57" t="s">
        <v>37</v>
      </c>
      <c r="J57" t="s">
        <v>54</v>
      </c>
      <c r="K57" t="s">
        <v>84</v>
      </c>
      <c r="L57" t="s">
        <v>85</v>
      </c>
      <c r="M57" t="s">
        <v>74</v>
      </c>
      <c r="N57" t="s">
        <v>274</v>
      </c>
      <c r="O57" t="s">
        <v>275</v>
      </c>
      <c r="P57" t="s">
        <v>44</v>
      </c>
      <c r="Q57">
        <v>3</v>
      </c>
      <c r="R57">
        <v>1516.24</v>
      </c>
      <c r="S57">
        <v>0.25</v>
      </c>
      <c r="T57" s="12">
        <f>S57</f>
        <v>0.25</v>
      </c>
      <c r="U57">
        <v>3411.54</v>
      </c>
      <c r="V57">
        <f>Q57*R57*(1-S57)</f>
        <v>3411.54</v>
      </c>
      <c r="W57">
        <v>2803.13</v>
      </c>
      <c r="X57">
        <v>608.41</v>
      </c>
      <c r="Y57">
        <f>V57-W57</f>
        <v>608.40999999999985</v>
      </c>
      <c r="Z57" s="12">
        <f>Y57/V57</f>
        <v>0.17833881472883209</v>
      </c>
      <c r="AA57" t="s">
        <v>32</v>
      </c>
      <c r="AB57" t="s">
        <v>33</v>
      </c>
      <c r="AC57" s="14" t="s">
        <v>2794</v>
      </c>
      <c r="AD57" t="s">
        <v>2782</v>
      </c>
      <c r="AE57" t="str">
        <f>PROPER(TRIM(AB57))</f>
        <v>Completed</v>
      </c>
      <c r="AS57" t="str">
        <f t="shared" si="2"/>
        <v/>
      </c>
    </row>
    <row r="58" spans="1:45">
      <c r="A58" t="s">
        <v>276</v>
      </c>
      <c r="B58" s="7">
        <v>45662</v>
      </c>
      <c r="C58" s="4">
        <v>45663</v>
      </c>
      <c r="D58">
        <f>C58-B58</f>
        <v>1</v>
      </c>
      <c r="E58" t="str">
        <f>TEXT(B58,"mmmm")</f>
        <v>January</v>
      </c>
      <c r="F58">
        <f>YEAR(B58)</f>
        <v>2025</v>
      </c>
      <c r="G58" t="s">
        <v>277</v>
      </c>
      <c r="H58" t="s">
        <v>23</v>
      </c>
      <c r="I58" t="s">
        <v>24</v>
      </c>
      <c r="J58" t="s">
        <v>54</v>
      </c>
      <c r="K58" t="s">
        <v>175</v>
      </c>
      <c r="L58" t="s">
        <v>176</v>
      </c>
      <c r="M58" t="s">
        <v>28</v>
      </c>
      <c r="N58" t="s">
        <v>153</v>
      </c>
      <c r="O58" t="s">
        <v>278</v>
      </c>
      <c r="P58" t="s">
        <v>31</v>
      </c>
      <c r="Q58">
        <v>3</v>
      </c>
      <c r="R58">
        <v>3155.61</v>
      </c>
      <c r="S58">
        <v>0</v>
      </c>
      <c r="T58" s="12">
        <f>S58</f>
        <v>0</v>
      </c>
      <c r="U58">
        <v>9466.83</v>
      </c>
      <c r="V58">
        <f>Q58*R58*(1-S58)</f>
        <v>9466.83</v>
      </c>
      <c r="W58">
        <v>6557.83</v>
      </c>
      <c r="X58">
        <v>2909</v>
      </c>
      <c r="Y58">
        <f>V58-W58</f>
        <v>2909</v>
      </c>
      <c r="Z58" s="12">
        <f>Y58/V58</f>
        <v>0.30728343067320318</v>
      </c>
      <c r="AA58" t="s">
        <v>102</v>
      </c>
      <c r="AB58" t="s">
        <v>68</v>
      </c>
      <c r="AC58" s="14" t="s">
        <v>2794</v>
      </c>
      <c r="AD58" t="s">
        <v>2782</v>
      </c>
      <c r="AE58" t="str">
        <f>PROPER(TRIM(AB58))</f>
        <v>Cancelled</v>
      </c>
      <c r="AS58" t="str">
        <f t="shared" si="2"/>
        <v/>
      </c>
    </row>
    <row r="59" spans="1:45">
      <c r="A59" t="s">
        <v>279</v>
      </c>
      <c r="B59" s="7">
        <v>45329</v>
      </c>
      <c r="C59" s="4">
        <v>45337</v>
      </c>
      <c r="D59">
        <f>C59-B59</f>
        <v>8</v>
      </c>
      <c r="E59" t="str">
        <f>TEXT(B59,"mmmm")</f>
        <v>February</v>
      </c>
      <c r="F59">
        <f>YEAR(B59)</f>
        <v>2024</v>
      </c>
      <c r="G59" t="s">
        <v>280</v>
      </c>
      <c r="H59" t="s">
        <v>114</v>
      </c>
      <c r="I59" t="s">
        <v>24</v>
      </c>
      <c r="J59" t="s">
        <v>63</v>
      </c>
      <c r="K59" t="s">
        <v>190</v>
      </c>
      <c r="L59" t="s">
        <v>191</v>
      </c>
      <c r="M59" t="s">
        <v>41</v>
      </c>
      <c r="N59" t="s">
        <v>66</v>
      </c>
      <c r="O59" t="s">
        <v>281</v>
      </c>
      <c r="P59" t="s">
        <v>44</v>
      </c>
      <c r="Q59">
        <v>5</v>
      </c>
      <c r="R59">
        <v>255.87</v>
      </c>
      <c r="S59">
        <v>0</v>
      </c>
      <c r="T59" s="12">
        <f>S59</f>
        <v>0</v>
      </c>
      <c r="U59">
        <v>1279.3499999999999</v>
      </c>
      <c r="V59">
        <f>Q59*R59*(1-S59)</f>
        <v>1279.3499999999999</v>
      </c>
      <c r="W59">
        <v>1091.54</v>
      </c>
      <c r="X59">
        <v>187.81</v>
      </c>
      <c r="Y59">
        <f>V59-W59</f>
        <v>187.80999999999995</v>
      </c>
      <c r="Z59" s="12">
        <f>Y59/V59</f>
        <v>0.14680110993864068</v>
      </c>
      <c r="AA59" t="s">
        <v>32</v>
      </c>
      <c r="AB59" t="s">
        <v>33</v>
      </c>
      <c r="AC59" s="14" t="s">
        <v>2794</v>
      </c>
      <c r="AD59" t="s">
        <v>2782</v>
      </c>
      <c r="AE59" t="str">
        <f>PROPER(TRIM(AB59))</f>
        <v>Completed</v>
      </c>
      <c r="AS59" t="str">
        <f t="shared" si="2"/>
        <v/>
      </c>
    </row>
    <row r="60" spans="1:45">
      <c r="A60" t="s">
        <v>282</v>
      </c>
      <c r="B60" s="7">
        <v>45536</v>
      </c>
      <c r="C60" s="4">
        <v>45542</v>
      </c>
      <c r="D60">
        <f>C60-B60</f>
        <v>6</v>
      </c>
      <c r="E60" t="str">
        <f>TEXT(B60,"mmmm")</f>
        <v>September</v>
      </c>
      <c r="F60">
        <f>YEAR(B60)</f>
        <v>2024</v>
      </c>
      <c r="G60" t="s">
        <v>283</v>
      </c>
      <c r="H60" t="s">
        <v>47</v>
      </c>
      <c r="I60" t="s">
        <v>95</v>
      </c>
      <c r="J60" t="s">
        <v>25</v>
      </c>
      <c r="K60" t="s">
        <v>26</v>
      </c>
      <c r="L60" t="s">
        <v>27</v>
      </c>
      <c r="M60" t="s">
        <v>28</v>
      </c>
      <c r="N60" t="s">
        <v>124</v>
      </c>
      <c r="O60" t="s">
        <v>284</v>
      </c>
      <c r="P60" t="s">
        <v>2783</v>
      </c>
      <c r="Q60">
        <v>9</v>
      </c>
      <c r="R60">
        <v>1389.48</v>
      </c>
      <c r="S60">
        <v>0.1</v>
      </c>
      <c r="T60" s="12">
        <f>S60</f>
        <v>0.1</v>
      </c>
      <c r="U60">
        <v>11254.79</v>
      </c>
      <c r="V60">
        <f>Q60*R60*(1-S60)</f>
        <v>11254.788</v>
      </c>
      <c r="W60">
        <v>6578.06</v>
      </c>
      <c r="X60">
        <v>4676.7299999999996</v>
      </c>
      <c r="Y60">
        <f>V60-W60</f>
        <v>4676.7280000000001</v>
      </c>
      <c r="Z60" s="12">
        <f>Y60/V60</f>
        <v>0.41553230500654476</v>
      </c>
      <c r="AA60" t="s">
        <v>111</v>
      </c>
      <c r="AB60" t="s">
        <v>103</v>
      </c>
      <c r="AC60" s="10" t="s">
        <v>2795</v>
      </c>
      <c r="AD60" t="s">
        <v>2782</v>
      </c>
      <c r="AE60" t="str">
        <f>PROPER(TRIM(AB60))</f>
        <v>Returned</v>
      </c>
      <c r="AS60" t="str">
        <f t="shared" si="2"/>
        <v/>
      </c>
    </row>
    <row r="61" spans="1:45">
      <c r="A61" t="s">
        <v>285</v>
      </c>
      <c r="B61" s="7">
        <v>45493</v>
      </c>
      <c r="C61" s="4">
        <v>45498</v>
      </c>
      <c r="D61">
        <f>C61-B61</f>
        <v>5</v>
      </c>
      <c r="E61" t="str">
        <f>TEXT(B61,"mmmm")</f>
        <v>July</v>
      </c>
      <c r="F61">
        <f>YEAR(B61)</f>
        <v>2024</v>
      </c>
      <c r="G61" t="s">
        <v>286</v>
      </c>
      <c r="H61" t="s">
        <v>114</v>
      </c>
      <c r="I61" t="s">
        <v>90</v>
      </c>
      <c r="J61" t="s">
        <v>38</v>
      </c>
      <c r="K61" t="s">
        <v>166</v>
      </c>
      <c r="L61" t="s">
        <v>167</v>
      </c>
      <c r="M61" t="s">
        <v>28</v>
      </c>
      <c r="N61" t="s">
        <v>91</v>
      </c>
      <c r="O61" t="s">
        <v>287</v>
      </c>
      <c r="P61" t="s">
        <v>44</v>
      </c>
      <c r="Q61">
        <v>5</v>
      </c>
      <c r="R61">
        <v>4133.8500000000004</v>
      </c>
      <c r="S61">
        <v>0.2</v>
      </c>
      <c r="T61" s="12">
        <f>S61</f>
        <v>0.2</v>
      </c>
      <c r="U61">
        <v>16535.400000000001</v>
      </c>
      <c r="V61">
        <f>Q61*R61*(1-S61)</f>
        <v>16535.400000000001</v>
      </c>
      <c r="W61">
        <v>12990.21</v>
      </c>
      <c r="X61">
        <v>3545.19</v>
      </c>
      <c r="Y61">
        <f>V61-W61</f>
        <v>3545.1900000000023</v>
      </c>
      <c r="Z61" s="12">
        <f>Y61/V61</f>
        <v>0.21440001451431487</v>
      </c>
      <c r="AA61" t="s">
        <v>32</v>
      </c>
      <c r="AB61" t="s">
        <v>68</v>
      </c>
      <c r="AC61" s="14" t="s">
        <v>2794</v>
      </c>
      <c r="AD61" t="s">
        <v>2782</v>
      </c>
      <c r="AE61" t="str">
        <f>PROPER(TRIM(AB61))</f>
        <v>Cancelled</v>
      </c>
      <c r="AS61" t="str">
        <f t="shared" si="2"/>
        <v/>
      </c>
    </row>
    <row r="62" spans="1:45">
      <c r="A62" t="s">
        <v>288</v>
      </c>
      <c r="B62" s="7">
        <v>45486</v>
      </c>
      <c r="C62" s="4">
        <v>45492</v>
      </c>
      <c r="D62">
        <f>C62-B62</f>
        <v>6</v>
      </c>
      <c r="E62" t="str">
        <f>TEXT(B62,"mmmm")</f>
        <v>July</v>
      </c>
      <c r="F62">
        <f>YEAR(B62)</f>
        <v>2024</v>
      </c>
      <c r="G62" t="s">
        <v>289</v>
      </c>
      <c r="H62" t="s">
        <v>62</v>
      </c>
      <c r="I62" t="s">
        <v>90</v>
      </c>
      <c r="J62" t="s">
        <v>38</v>
      </c>
      <c r="K62" t="s">
        <v>166</v>
      </c>
      <c r="L62" t="s">
        <v>167</v>
      </c>
      <c r="M62" t="s">
        <v>28</v>
      </c>
      <c r="N62" t="s">
        <v>91</v>
      </c>
      <c r="O62" t="s">
        <v>290</v>
      </c>
      <c r="P62" t="s">
        <v>44</v>
      </c>
      <c r="Q62">
        <v>3</v>
      </c>
      <c r="R62">
        <v>275.76</v>
      </c>
      <c r="S62">
        <v>0.2</v>
      </c>
      <c r="T62" s="12">
        <f>S62</f>
        <v>0.2</v>
      </c>
      <c r="U62">
        <v>661.82</v>
      </c>
      <c r="V62">
        <f>Q62*R62*(1-S62)</f>
        <v>661.82400000000007</v>
      </c>
      <c r="W62">
        <v>481.47</v>
      </c>
      <c r="X62">
        <v>180.35</v>
      </c>
      <c r="Y62">
        <f>V62-W62</f>
        <v>180.35400000000004</v>
      </c>
      <c r="Z62" s="12">
        <f>Y62/V62</f>
        <v>0.27251051639106472</v>
      </c>
      <c r="AA62" t="s">
        <v>102</v>
      </c>
      <c r="AB62" t="s">
        <v>68</v>
      </c>
      <c r="AC62" s="14" t="s">
        <v>2794</v>
      </c>
      <c r="AD62" t="s">
        <v>2782</v>
      </c>
      <c r="AE62" t="str">
        <f>PROPER(TRIM(AB62))</f>
        <v>Cancelled</v>
      </c>
      <c r="AS62" t="str">
        <f t="shared" si="2"/>
        <v/>
      </c>
    </row>
    <row r="63" spans="1:45">
      <c r="A63" t="s">
        <v>291</v>
      </c>
      <c r="B63" s="7">
        <v>45398</v>
      </c>
      <c r="C63" s="4">
        <v>45398</v>
      </c>
      <c r="D63">
        <f>C63-B63</f>
        <v>0</v>
      </c>
      <c r="E63" t="str">
        <f>TEXT(B63,"mmmm")</f>
        <v>April</v>
      </c>
      <c r="F63">
        <f>YEAR(B63)</f>
        <v>2024</v>
      </c>
      <c r="G63" t="s">
        <v>292</v>
      </c>
      <c r="H63" t="s">
        <v>71</v>
      </c>
      <c r="I63" t="s">
        <v>95</v>
      </c>
      <c r="J63" t="s">
        <v>38</v>
      </c>
      <c r="K63" t="s">
        <v>145</v>
      </c>
      <c r="L63" t="s">
        <v>146</v>
      </c>
      <c r="M63" t="s">
        <v>41</v>
      </c>
      <c r="N63" t="s">
        <v>158</v>
      </c>
      <c r="O63" t="s">
        <v>293</v>
      </c>
      <c r="P63" t="s">
        <v>59</v>
      </c>
      <c r="Q63">
        <v>1</v>
      </c>
      <c r="R63">
        <v>949.59</v>
      </c>
      <c r="S63">
        <v>0</v>
      </c>
      <c r="T63" s="12">
        <f>S63</f>
        <v>0</v>
      </c>
      <c r="U63">
        <v>949.59</v>
      </c>
      <c r="V63">
        <f>Q63*R63*(1-S63)</f>
        <v>949.59</v>
      </c>
      <c r="W63">
        <v>751.25</v>
      </c>
      <c r="X63">
        <v>198.34</v>
      </c>
      <c r="Y63">
        <f>V63-W63</f>
        <v>198.34000000000003</v>
      </c>
      <c r="Z63" s="12">
        <f>Y63/V63</f>
        <v>0.20886909087079689</v>
      </c>
      <c r="AA63" t="s">
        <v>32</v>
      </c>
      <c r="AB63" t="s">
        <v>33</v>
      </c>
      <c r="AC63" s="14" t="s">
        <v>2794</v>
      </c>
      <c r="AD63" t="s">
        <v>2782</v>
      </c>
      <c r="AE63" t="str">
        <f>PROPER(TRIM(AB63))</f>
        <v>Completed</v>
      </c>
      <c r="AS63" t="str">
        <f t="shared" si="2"/>
        <v/>
      </c>
    </row>
    <row r="64" spans="1:45">
      <c r="A64" t="s">
        <v>294</v>
      </c>
      <c r="B64" s="7">
        <v>45595</v>
      </c>
      <c r="C64" s="4">
        <v>45598</v>
      </c>
      <c r="D64">
        <f>C64-B64</f>
        <v>3</v>
      </c>
      <c r="E64" t="str">
        <f>TEXT(B64,"mmmm")</f>
        <v>October</v>
      </c>
      <c r="F64">
        <f>YEAR(B64)</f>
        <v>2024</v>
      </c>
      <c r="G64" t="s">
        <v>295</v>
      </c>
      <c r="H64" t="s">
        <v>132</v>
      </c>
      <c r="I64" t="s">
        <v>95</v>
      </c>
      <c r="J64" t="s">
        <v>25</v>
      </c>
      <c r="K64" t="s">
        <v>26</v>
      </c>
      <c r="L64" t="s">
        <v>27</v>
      </c>
      <c r="M64" t="s">
        <v>74</v>
      </c>
      <c r="N64" t="s">
        <v>171</v>
      </c>
      <c r="O64" t="s">
        <v>296</v>
      </c>
      <c r="P64" t="s">
        <v>59</v>
      </c>
      <c r="Q64">
        <v>9</v>
      </c>
      <c r="R64">
        <v>3042.29</v>
      </c>
      <c r="S64">
        <v>0.2</v>
      </c>
      <c r="T64" s="12">
        <f>S64</f>
        <v>0.2</v>
      </c>
      <c r="U64">
        <v>21904.49</v>
      </c>
      <c r="V64">
        <f>Q64*R64*(1-S64)</f>
        <v>21904.488000000001</v>
      </c>
      <c r="W64">
        <v>13570.55</v>
      </c>
      <c r="X64">
        <v>8333.94</v>
      </c>
      <c r="Y64">
        <f>V64-W64</f>
        <v>8333.9380000000019</v>
      </c>
      <c r="Z64" s="12">
        <f>Y64/V64</f>
        <v>0.38046714445003244</v>
      </c>
      <c r="AA64" t="s">
        <v>32</v>
      </c>
      <c r="AB64" t="s">
        <v>33</v>
      </c>
      <c r="AC64" s="14" t="s">
        <v>2794</v>
      </c>
      <c r="AD64" t="s">
        <v>2782</v>
      </c>
      <c r="AE64" t="str">
        <f>PROPER(TRIM(AB64))</f>
        <v>Completed</v>
      </c>
      <c r="AS64" t="str">
        <f t="shared" si="2"/>
        <v/>
      </c>
    </row>
    <row r="65" spans="1:45">
      <c r="A65" t="s">
        <v>297</v>
      </c>
      <c r="B65" s="7">
        <v>45316</v>
      </c>
      <c r="C65" s="4">
        <v>45323</v>
      </c>
      <c r="D65">
        <f>C65-B65</f>
        <v>7</v>
      </c>
      <c r="E65" t="str">
        <f>TEXT(B65,"mmmm")</f>
        <v>January</v>
      </c>
      <c r="F65">
        <f>YEAR(B65)</f>
        <v>2024</v>
      </c>
      <c r="G65" t="s">
        <v>298</v>
      </c>
      <c r="H65" t="s">
        <v>132</v>
      </c>
      <c r="I65" t="s">
        <v>95</v>
      </c>
      <c r="J65" t="s">
        <v>25</v>
      </c>
      <c r="K65" t="s">
        <v>236</v>
      </c>
      <c r="L65" t="s">
        <v>237</v>
      </c>
      <c r="M65" t="s">
        <v>28</v>
      </c>
      <c r="N65" t="s">
        <v>153</v>
      </c>
      <c r="O65" t="s">
        <v>299</v>
      </c>
      <c r="P65" t="s">
        <v>44</v>
      </c>
      <c r="Q65">
        <v>2</v>
      </c>
      <c r="R65">
        <v>2832.77</v>
      </c>
      <c r="S65">
        <v>0.15</v>
      </c>
      <c r="T65" s="12">
        <f>S65</f>
        <v>0.15</v>
      </c>
      <c r="U65">
        <v>4815.71</v>
      </c>
      <c r="V65">
        <f>Q65*R65*(1-S65)</f>
        <v>4815.7089999999998</v>
      </c>
      <c r="W65">
        <v>3027.75</v>
      </c>
      <c r="X65">
        <v>1917.47</v>
      </c>
      <c r="Y65">
        <f>V65-W65</f>
        <v>1787.9589999999998</v>
      </c>
      <c r="Z65" s="12">
        <f>Y65/V65</f>
        <v>0.37127637903369992</v>
      </c>
      <c r="AA65" t="s">
        <v>32</v>
      </c>
      <c r="AB65" t="s">
        <v>33</v>
      </c>
      <c r="AC65" s="14" t="s">
        <v>2794</v>
      </c>
      <c r="AD65" t="s">
        <v>2782</v>
      </c>
      <c r="AE65" t="str">
        <f>PROPER(TRIM(AB65))</f>
        <v>Completed</v>
      </c>
      <c r="AS65" t="str">
        <f t="shared" si="2"/>
        <v/>
      </c>
    </row>
    <row r="66" spans="1:45">
      <c r="A66" t="s">
        <v>300</v>
      </c>
      <c r="B66" s="7">
        <v>45649</v>
      </c>
      <c r="C66" s="4">
        <v>45655</v>
      </c>
      <c r="D66">
        <f>C66-B66</f>
        <v>6</v>
      </c>
      <c r="E66" t="str">
        <f>TEXT(B66,"mmmm")</f>
        <v>December</v>
      </c>
      <c r="F66">
        <f>YEAR(B66)</f>
        <v>2024</v>
      </c>
      <c r="G66" t="s">
        <v>301</v>
      </c>
      <c r="H66" t="s">
        <v>128</v>
      </c>
      <c r="I66" t="s">
        <v>90</v>
      </c>
      <c r="J66" t="s">
        <v>38</v>
      </c>
      <c r="K66" t="s">
        <v>228</v>
      </c>
      <c r="L66" t="s">
        <v>229</v>
      </c>
      <c r="M66" t="s">
        <v>28</v>
      </c>
      <c r="N66" t="s">
        <v>29</v>
      </c>
      <c r="O66" t="s">
        <v>302</v>
      </c>
      <c r="P66" t="s">
        <v>50</v>
      </c>
      <c r="Q66">
        <v>7</v>
      </c>
      <c r="R66">
        <v>447.84</v>
      </c>
      <c r="S66">
        <v>0</v>
      </c>
      <c r="T66" s="12">
        <f>S66</f>
        <v>0</v>
      </c>
      <c r="U66">
        <v>3134.88</v>
      </c>
      <c r="V66">
        <f>Q66*R66*(1-S66)</f>
        <v>3134.8799999999997</v>
      </c>
      <c r="W66">
        <v>2367.63</v>
      </c>
      <c r="X66">
        <v>767.25</v>
      </c>
      <c r="Y66">
        <f>V66-W66</f>
        <v>767.24999999999955</v>
      </c>
      <c r="Z66" s="12">
        <f>Y66/V66</f>
        <v>0.24474621038125849</v>
      </c>
      <c r="AA66" t="s">
        <v>102</v>
      </c>
      <c r="AB66" t="s">
        <v>103</v>
      </c>
      <c r="AC66" s="14" t="s">
        <v>2794</v>
      </c>
      <c r="AD66" t="s">
        <v>2782</v>
      </c>
      <c r="AE66" t="str">
        <f>PROPER(TRIM(AB66))</f>
        <v>Returned</v>
      </c>
      <c r="AS66" t="str">
        <f t="shared" si="2"/>
        <v/>
      </c>
    </row>
    <row r="67" spans="1:45">
      <c r="A67" t="s">
        <v>303</v>
      </c>
      <c r="B67" s="7">
        <v>45404</v>
      </c>
      <c r="C67" s="4">
        <v>45409</v>
      </c>
      <c r="D67">
        <f>C67-B67</f>
        <v>5</v>
      </c>
      <c r="E67" t="str">
        <f>TEXT(B67,"mmmm")</f>
        <v>April</v>
      </c>
      <c r="F67">
        <f>YEAR(B67)</f>
        <v>2024</v>
      </c>
      <c r="G67" t="s">
        <v>304</v>
      </c>
      <c r="H67" t="s">
        <v>36</v>
      </c>
      <c r="I67" t="s">
        <v>95</v>
      </c>
      <c r="J67" t="s">
        <v>63</v>
      </c>
      <c r="K67" t="s">
        <v>64</v>
      </c>
      <c r="L67" t="s">
        <v>65</v>
      </c>
      <c r="M67" t="s">
        <v>28</v>
      </c>
      <c r="N67" t="s">
        <v>29</v>
      </c>
      <c r="O67" t="s">
        <v>305</v>
      </c>
      <c r="P67" t="s">
        <v>31</v>
      </c>
      <c r="Q67">
        <v>1</v>
      </c>
      <c r="R67">
        <v>4280.1899999999996</v>
      </c>
      <c r="S67">
        <v>0.05</v>
      </c>
      <c r="T67" s="12">
        <f>S67</f>
        <v>0.05</v>
      </c>
      <c r="U67">
        <v>4066.18</v>
      </c>
      <c r="V67">
        <f>Q67*R67*(1-S67)</f>
        <v>4066.1804999999995</v>
      </c>
      <c r="W67">
        <v>2628.92</v>
      </c>
      <c r="X67">
        <v>1437.26</v>
      </c>
      <c r="Y67">
        <f>V67-W67</f>
        <v>1437.2604999999994</v>
      </c>
      <c r="Z67" s="12">
        <f>Y67/V67</f>
        <v>0.35346696980126674</v>
      </c>
      <c r="AA67" t="s">
        <v>32</v>
      </c>
      <c r="AB67" t="s">
        <v>33</v>
      </c>
      <c r="AC67" s="14" t="s">
        <v>2794</v>
      </c>
      <c r="AD67" t="s">
        <v>2782</v>
      </c>
      <c r="AE67" t="str">
        <f>PROPER(TRIM(AB67))</f>
        <v>Completed</v>
      </c>
      <c r="AS67" t="str">
        <f t="shared" ref="AS67:AS130" si="3">PROPER(TRIM(AD67))</f>
        <v/>
      </c>
    </row>
    <row r="68" spans="1:45">
      <c r="A68" t="s">
        <v>306</v>
      </c>
      <c r="B68" s="7">
        <v>45897</v>
      </c>
      <c r="C68" s="4">
        <v>45901</v>
      </c>
      <c r="D68">
        <f>C68-B68</f>
        <v>4</v>
      </c>
      <c r="E68" t="str">
        <f>TEXT(B68,"mmmm")</f>
        <v>August</v>
      </c>
      <c r="F68">
        <f>YEAR(B68)</f>
        <v>2025</v>
      </c>
      <c r="G68" t="s">
        <v>307</v>
      </c>
      <c r="H68" t="s">
        <v>23</v>
      </c>
      <c r="I68" t="s">
        <v>37</v>
      </c>
      <c r="J68" t="s">
        <v>54</v>
      </c>
      <c r="K68" t="s">
        <v>247</v>
      </c>
      <c r="L68" t="s">
        <v>248</v>
      </c>
      <c r="M68" t="s">
        <v>74</v>
      </c>
      <c r="N68" t="s">
        <v>75</v>
      </c>
      <c r="O68" t="s">
        <v>308</v>
      </c>
      <c r="P68" t="s">
        <v>44</v>
      </c>
      <c r="Q68">
        <v>7</v>
      </c>
      <c r="R68">
        <v>1057.46</v>
      </c>
      <c r="S68">
        <v>0.05</v>
      </c>
      <c r="T68" s="12">
        <f>S68</f>
        <v>0.05</v>
      </c>
      <c r="U68">
        <v>7032.11</v>
      </c>
      <c r="V68">
        <f>Q68*R68*(1-S68)</f>
        <v>7032.1089999999995</v>
      </c>
      <c r="W68">
        <v>4610.34</v>
      </c>
      <c r="X68">
        <v>2421.77</v>
      </c>
      <c r="Y68">
        <f>V68-W68</f>
        <v>2421.7689999999993</v>
      </c>
      <c r="Z68" s="12">
        <f>Y68/V68</f>
        <v>0.34438729547565311</v>
      </c>
      <c r="AA68" t="s">
        <v>32</v>
      </c>
      <c r="AB68" t="s">
        <v>33</v>
      </c>
      <c r="AC68" s="14" t="s">
        <v>2794</v>
      </c>
      <c r="AD68" t="s">
        <v>2782</v>
      </c>
      <c r="AE68" t="str">
        <f>PROPER(TRIM(AB68))</f>
        <v>Completed</v>
      </c>
      <c r="AS68" t="str">
        <f t="shared" si="3"/>
        <v/>
      </c>
    </row>
    <row r="69" spans="1:45">
      <c r="A69" t="s">
        <v>309</v>
      </c>
      <c r="B69" s="7">
        <v>45691</v>
      </c>
      <c r="C69" s="4">
        <v>45695</v>
      </c>
      <c r="D69">
        <f>C69-B69</f>
        <v>4</v>
      </c>
      <c r="E69" t="str">
        <f>TEXT(B69,"mmmm")</f>
        <v>February</v>
      </c>
      <c r="F69">
        <f>YEAR(B69)</f>
        <v>2025</v>
      </c>
      <c r="G69" t="s">
        <v>310</v>
      </c>
      <c r="H69" t="s">
        <v>264</v>
      </c>
      <c r="I69" t="s">
        <v>24</v>
      </c>
      <c r="J69" t="s">
        <v>25</v>
      </c>
      <c r="K69" t="s">
        <v>236</v>
      </c>
      <c r="L69" t="s">
        <v>237</v>
      </c>
      <c r="M69" t="s">
        <v>28</v>
      </c>
      <c r="N69" t="s">
        <v>29</v>
      </c>
      <c r="O69" t="s">
        <v>311</v>
      </c>
      <c r="P69" t="s">
        <v>50</v>
      </c>
      <c r="Q69">
        <v>7</v>
      </c>
      <c r="R69">
        <v>3609.34</v>
      </c>
      <c r="S69">
        <v>0.05</v>
      </c>
      <c r="T69" s="12">
        <f>S69</f>
        <v>0.05</v>
      </c>
      <c r="U69">
        <v>24002.11</v>
      </c>
      <c r="V69">
        <f>Q69*R69*(1-S69)</f>
        <v>24002.111000000001</v>
      </c>
      <c r="W69">
        <v>18707.57</v>
      </c>
      <c r="X69">
        <v>5294.54</v>
      </c>
      <c r="Y69">
        <f>V69-W69</f>
        <v>5294.5410000000011</v>
      </c>
      <c r="Z69" s="12">
        <f>Y69/V69</f>
        <v>0.2205864725815159</v>
      </c>
      <c r="AA69" t="s">
        <v>32</v>
      </c>
      <c r="AB69" t="s">
        <v>33</v>
      </c>
      <c r="AC69" s="14" t="s">
        <v>2794</v>
      </c>
      <c r="AD69" t="s">
        <v>2782</v>
      </c>
      <c r="AE69" t="str">
        <f>PROPER(TRIM(AB69))</f>
        <v>Completed</v>
      </c>
      <c r="AS69" t="str">
        <f t="shared" si="3"/>
        <v/>
      </c>
    </row>
    <row r="70" spans="1:45">
      <c r="A70" t="s">
        <v>312</v>
      </c>
      <c r="B70" s="7">
        <v>45576</v>
      </c>
      <c r="C70" s="4">
        <v>45609</v>
      </c>
      <c r="D70">
        <f>C70-B70</f>
        <v>33</v>
      </c>
      <c r="E70" t="str">
        <f>TEXT(B70,"mmmm")</f>
        <v>October</v>
      </c>
      <c r="F70">
        <f>YEAR(B70)</f>
        <v>2024</v>
      </c>
      <c r="G70" t="s">
        <v>313</v>
      </c>
      <c r="H70" t="s">
        <v>47</v>
      </c>
      <c r="I70" t="s">
        <v>90</v>
      </c>
      <c r="J70" t="s">
        <v>38</v>
      </c>
      <c r="K70" t="s">
        <v>228</v>
      </c>
      <c r="L70" t="s">
        <v>229</v>
      </c>
      <c r="M70" t="s">
        <v>28</v>
      </c>
      <c r="N70" t="s">
        <v>124</v>
      </c>
      <c r="O70" t="s">
        <v>314</v>
      </c>
      <c r="P70" t="s">
        <v>31</v>
      </c>
      <c r="Q70">
        <v>9</v>
      </c>
      <c r="R70">
        <v>2211.12</v>
      </c>
      <c r="S70">
        <v>0</v>
      </c>
      <c r="T70" s="12">
        <f>S70</f>
        <v>0</v>
      </c>
      <c r="U70">
        <v>19900.080000000002</v>
      </c>
      <c r="V70">
        <f>Q70*R70*(1-S70)</f>
        <v>19900.079999999998</v>
      </c>
      <c r="W70">
        <v>10962.66</v>
      </c>
      <c r="X70">
        <v>8937.42</v>
      </c>
      <c r="Y70">
        <f>V70-W70</f>
        <v>8937.4199999999983</v>
      </c>
      <c r="Z70" s="12">
        <f>Y70/V70</f>
        <v>0.44911477742803041</v>
      </c>
      <c r="AA70" t="s">
        <v>155</v>
      </c>
      <c r="AB70" t="s">
        <v>103</v>
      </c>
      <c r="AC70" s="14" t="s">
        <v>2794</v>
      </c>
      <c r="AD70" t="s">
        <v>2782</v>
      </c>
      <c r="AE70" t="str">
        <f>PROPER(TRIM(AB70))</f>
        <v>Returned</v>
      </c>
      <c r="AS70" t="str">
        <f t="shared" si="3"/>
        <v/>
      </c>
    </row>
    <row r="71" spans="1:45">
      <c r="A71" t="s">
        <v>315</v>
      </c>
      <c r="B71" s="7">
        <v>45391</v>
      </c>
      <c r="C71" s="4">
        <v>45396</v>
      </c>
      <c r="D71">
        <f>C71-B71</f>
        <v>5</v>
      </c>
      <c r="E71" t="str">
        <f>TEXT(B71,"mmmm")</f>
        <v>April</v>
      </c>
      <c r="F71">
        <f>YEAR(B71)</f>
        <v>2024</v>
      </c>
      <c r="G71" t="s">
        <v>316</v>
      </c>
      <c r="H71" t="s">
        <v>79</v>
      </c>
      <c r="I71" t="s">
        <v>37</v>
      </c>
      <c r="J71" t="s">
        <v>63</v>
      </c>
      <c r="K71" t="s">
        <v>180</v>
      </c>
      <c r="L71" t="s">
        <v>181</v>
      </c>
      <c r="M71" t="s">
        <v>74</v>
      </c>
      <c r="N71" t="s">
        <v>274</v>
      </c>
      <c r="O71" t="s">
        <v>317</v>
      </c>
      <c r="P71" t="s">
        <v>44</v>
      </c>
      <c r="Q71">
        <v>7</v>
      </c>
      <c r="R71">
        <v>3417.09</v>
      </c>
      <c r="S71">
        <v>0.1</v>
      </c>
      <c r="T71" s="12">
        <f>S71</f>
        <v>0.1</v>
      </c>
      <c r="U71">
        <v>21527.67</v>
      </c>
      <c r="V71">
        <f>Q71*R71*(1-S71)</f>
        <v>21527.667000000001</v>
      </c>
      <c r="W71">
        <v>18287.580000000002</v>
      </c>
      <c r="X71">
        <v>3240.09</v>
      </c>
      <c r="Y71">
        <f>V71-W71</f>
        <v>3240.0869999999995</v>
      </c>
      <c r="Z71" s="12">
        <f>Y71/V71</f>
        <v>0.15050804158202555</v>
      </c>
      <c r="AA71" t="s">
        <v>102</v>
      </c>
      <c r="AB71" t="s">
        <v>103</v>
      </c>
      <c r="AC71" s="14" t="s">
        <v>2794</v>
      </c>
      <c r="AD71" t="s">
        <v>2782</v>
      </c>
      <c r="AE71" t="str">
        <f>PROPER(TRIM(AB71))</f>
        <v>Returned</v>
      </c>
      <c r="AS71" t="str">
        <f t="shared" si="3"/>
        <v/>
      </c>
    </row>
    <row r="72" spans="1:45">
      <c r="A72" t="s">
        <v>318</v>
      </c>
      <c r="B72" s="7">
        <v>45891</v>
      </c>
      <c r="C72" s="4">
        <v>45896</v>
      </c>
      <c r="D72">
        <f>C72-B72</f>
        <v>5</v>
      </c>
      <c r="E72" t="str">
        <f>TEXT(B72,"mmmm")</f>
        <v>August</v>
      </c>
      <c r="F72">
        <f>YEAR(B72)</f>
        <v>2025</v>
      </c>
      <c r="G72" t="s">
        <v>319</v>
      </c>
      <c r="H72" t="s">
        <v>23</v>
      </c>
      <c r="I72" t="s">
        <v>90</v>
      </c>
      <c r="J72" t="s">
        <v>54</v>
      </c>
      <c r="K72" t="s">
        <v>84</v>
      </c>
      <c r="L72" t="s">
        <v>85</v>
      </c>
      <c r="M72" t="s">
        <v>74</v>
      </c>
      <c r="N72" t="s">
        <v>171</v>
      </c>
      <c r="O72" t="s">
        <v>320</v>
      </c>
      <c r="P72" t="s">
        <v>50</v>
      </c>
      <c r="Q72">
        <v>2</v>
      </c>
      <c r="R72">
        <v>905.87</v>
      </c>
      <c r="S72">
        <v>0.15</v>
      </c>
      <c r="T72" s="12">
        <f>S72</f>
        <v>0.15</v>
      </c>
      <c r="U72">
        <v>1539.98</v>
      </c>
      <c r="V72">
        <f>Q72*R72*(1-S72)</f>
        <v>1539.979</v>
      </c>
      <c r="W72">
        <v>1070.2</v>
      </c>
      <c r="X72">
        <v>469.78</v>
      </c>
      <c r="Y72">
        <f>V72-W72</f>
        <v>469.779</v>
      </c>
      <c r="Z72" s="12">
        <f>Y72/V72</f>
        <v>0.30505545854846072</v>
      </c>
      <c r="AA72" t="s">
        <v>32</v>
      </c>
      <c r="AB72" t="s">
        <v>33</v>
      </c>
      <c r="AC72" s="14" t="s">
        <v>2794</v>
      </c>
      <c r="AD72" t="s">
        <v>2782</v>
      </c>
      <c r="AE72" t="str">
        <f>PROPER(TRIM(AB72))</f>
        <v>Completed</v>
      </c>
      <c r="AS72" t="str">
        <f t="shared" si="3"/>
        <v/>
      </c>
    </row>
    <row r="73" spans="1:45">
      <c r="A73" t="s">
        <v>321</v>
      </c>
      <c r="B73" s="7">
        <v>45763</v>
      </c>
      <c r="C73" s="4">
        <v>45770</v>
      </c>
      <c r="D73">
        <f>C73-B73</f>
        <v>7</v>
      </c>
      <c r="E73" t="str">
        <f>TEXT(B73,"mmmm")</f>
        <v>April</v>
      </c>
      <c r="F73">
        <f>YEAR(B73)</f>
        <v>2025</v>
      </c>
      <c r="G73" t="s">
        <v>322</v>
      </c>
      <c r="H73" t="s">
        <v>36</v>
      </c>
      <c r="I73" t="s">
        <v>37</v>
      </c>
      <c r="J73" t="s">
        <v>63</v>
      </c>
      <c r="K73" t="s">
        <v>190</v>
      </c>
      <c r="L73" t="s">
        <v>191</v>
      </c>
      <c r="M73" t="s">
        <v>74</v>
      </c>
      <c r="N73" t="s">
        <v>274</v>
      </c>
      <c r="O73" t="s">
        <v>323</v>
      </c>
      <c r="P73" t="s">
        <v>59</v>
      </c>
      <c r="Q73">
        <v>6</v>
      </c>
      <c r="R73">
        <v>2027.32</v>
      </c>
      <c r="S73">
        <v>0.1</v>
      </c>
      <c r="T73" s="12">
        <f>S73</f>
        <v>0.1</v>
      </c>
      <c r="U73">
        <v>10947.53</v>
      </c>
      <c r="V73">
        <f>Q73*R73*(1-S73)</f>
        <v>10947.528</v>
      </c>
      <c r="W73">
        <v>6447.36</v>
      </c>
      <c r="X73">
        <v>4500.17</v>
      </c>
      <c r="Y73">
        <f>V73-W73</f>
        <v>4500.1680000000006</v>
      </c>
      <c r="Z73" s="12">
        <f>Y73/V73</f>
        <v>0.41106704636882413</v>
      </c>
      <c r="AA73" t="s">
        <v>32</v>
      </c>
      <c r="AB73" t="s">
        <v>33</v>
      </c>
      <c r="AC73" s="14" t="s">
        <v>2794</v>
      </c>
      <c r="AD73" t="s">
        <v>2782</v>
      </c>
      <c r="AE73" t="str">
        <f>PROPER(TRIM(AB73))</f>
        <v>Completed</v>
      </c>
      <c r="AS73" t="str">
        <f t="shared" si="3"/>
        <v/>
      </c>
    </row>
    <row r="74" spans="1:45">
      <c r="A74" t="s">
        <v>324</v>
      </c>
      <c r="B74" s="7">
        <v>45333</v>
      </c>
      <c r="C74" s="4">
        <v>45329</v>
      </c>
      <c r="D74" s="10">
        <f>C74-B74</f>
        <v>-4</v>
      </c>
      <c r="E74" t="str">
        <f>TEXT(B74,"mmmm")</f>
        <v>February</v>
      </c>
      <c r="F74">
        <f>YEAR(B74)</f>
        <v>2024</v>
      </c>
      <c r="G74" t="s">
        <v>325</v>
      </c>
      <c r="H74" t="s">
        <v>23</v>
      </c>
      <c r="I74" t="s">
        <v>95</v>
      </c>
      <c r="J74" t="s">
        <v>54</v>
      </c>
      <c r="K74" t="s">
        <v>247</v>
      </c>
      <c r="L74" t="s">
        <v>248</v>
      </c>
      <c r="M74" t="s">
        <v>41</v>
      </c>
      <c r="N74" t="s">
        <v>42</v>
      </c>
      <c r="O74" t="s">
        <v>326</v>
      </c>
      <c r="P74" t="s">
        <v>50</v>
      </c>
      <c r="Q74">
        <v>7</v>
      </c>
      <c r="R74">
        <v>2287.4699999999998</v>
      </c>
      <c r="S74">
        <v>0.15</v>
      </c>
      <c r="T74" s="12">
        <f>S74</f>
        <v>0.15</v>
      </c>
      <c r="U74">
        <v>13610.45</v>
      </c>
      <c r="V74">
        <f>Q74*R74*(1-S74)</f>
        <v>13610.446499999998</v>
      </c>
      <c r="W74">
        <v>10039.049999999999</v>
      </c>
      <c r="X74">
        <v>3571.4</v>
      </c>
      <c r="Y74">
        <f>V74-W74</f>
        <v>3571.3964999999989</v>
      </c>
      <c r="Z74" s="12">
        <f>Y74/V74</f>
        <v>0.26240112695788487</v>
      </c>
      <c r="AA74" t="s">
        <v>32</v>
      </c>
      <c r="AB74" t="s">
        <v>33</v>
      </c>
      <c r="AC74" s="10" t="s">
        <v>2792</v>
      </c>
      <c r="AD74" t="s">
        <v>2782</v>
      </c>
      <c r="AE74" t="str">
        <f>PROPER(TRIM(AB74))</f>
        <v>Completed</v>
      </c>
      <c r="AS74" t="str">
        <f t="shared" si="3"/>
        <v/>
      </c>
    </row>
    <row r="75" spans="1:45">
      <c r="A75" t="s">
        <v>327</v>
      </c>
      <c r="B75" s="7">
        <v>45745</v>
      </c>
      <c r="C75" s="4">
        <v>45720</v>
      </c>
      <c r="D75" s="10">
        <f>C75-B75</f>
        <v>-25</v>
      </c>
      <c r="E75" t="str">
        <f>TEXT(B75,"mmmm")</f>
        <v>March</v>
      </c>
      <c r="F75">
        <f>YEAR(B75)</f>
        <v>2025</v>
      </c>
      <c r="G75" t="s">
        <v>328</v>
      </c>
      <c r="H75" t="s">
        <v>132</v>
      </c>
      <c r="I75" t="s">
        <v>90</v>
      </c>
      <c r="J75" t="s">
        <v>38</v>
      </c>
      <c r="K75" t="s">
        <v>99</v>
      </c>
      <c r="L75" t="s">
        <v>100</v>
      </c>
      <c r="M75" t="s">
        <v>41</v>
      </c>
      <c r="N75" t="s">
        <v>158</v>
      </c>
      <c r="O75" t="s">
        <v>329</v>
      </c>
      <c r="P75" t="s">
        <v>50</v>
      </c>
      <c r="Q75">
        <v>5</v>
      </c>
      <c r="R75">
        <v>1425.74</v>
      </c>
      <c r="S75">
        <v>0</v>
      </c>
      <c r="T75" s="12">
        <f>S75</f>
        <v>0</v>
      </c>
      <c r="U75">
        <v>7128.7</v>
      </c>
      <c r="V75">
        <f>Q75*R75*(1-S75)</f>
        <v>7128.7</v>
      </c>
      <c r="W75">
        <v>4382.1499999999996</v>
      </c>
      <c r="X75">
        <v>2746.55</v>
      </c>
      <c r="Y75">
        <f>V75-W75</f>
        <v>2746.55</v>
      </c>
      <c r="Z75" s="12">
        <f>Y75/V75</f>
        <v>0.38528062620113068</v>
      </c>
      <c r="AA75" t="s">
        <v>32</v>
      </c>
      <c r="AB75" t="s">
        <v>33</v>
      </c>
      <c r="AC75" s="10" t="s">
        <v>2792</v>
      </c>
      <c r="AD75" t="s">
        <v>2782</v>
      </c>
      <c r="AE75" t="str">
        <f>PROPER(TRIM(AB75))</f>
        <v>Completed</v>
      </c>
      <c r="AS75" t="str">
        <f t="shared" si="3"/>
        <v/>
      </c>
    </row>
    <row r="76" spans="1:45">
      <c r="A76" t="s">
        <v>330</v>
      </c>
      <c r="B76" s="7">
        <v>45715</v>
      </c>
      <c r="C76" s="4">
        <v>45717</v>
      </c>
      <c r="D76">
        <f>C76-B76</f>
        <v>2</v>
      </c>
      <c r="E76" t="str">
        <f>TEXT(B76,"mmmm")</f>
        <v>February</v>
      </c>
      <c r="F76">
        <f>YEAR(B76)</f>
        <v>2025</v>
      </c>
      <c r="G76" t="s">
        <v>331</v>
      </c>
      <c r="H76" t="s">
        <v>71</v>
      </c>
      <c r="I76" t="s">
        <v>37</v>
      </c>
      <c r="J76" t="s">
        <v>38</v>
      </c>
      <c r="K76" t="s">
        <v>99</v>
      </c>
      <c r="L76" t="s">
        <v>100</v>
      </c>
      <c r="M76" t="s">
        <v>41</v>
      </c>
      <c r="N76" t="s">
        <v>66</v>
      </c>
      <c r="O76" t="s">
        <v>332</v>
      </c>
      <c r="P76" t="s">
        <v>59</v>
      </c>
      <c r="Q76">
        <v>6</v>
      </c>
      <c r="R76">
        <v>551.64</v>
      </c>
      <c r="S76">
        <v>0</v>
      </c>
      <c r="T76" s="12">
        <f>S76</f>
        <v>0</v>
      </c>
      <c r="U76">
        <v>3309.84</v>
      </c>
      <c r="V76">
        <f>Q76*R76*(1-S76)</f>
        <v>3309.84</v>
      </c>
      <c r="W76">
        <v>2671.08</v>
      </c>
      <c r="X76">
        <v>638.76</v>
      </c>
      <c r="Y76">
        <f>V76-W76</f>
        <v>638.76000000000022</v>
      </c>
      <c r="Z76" s="12">
        <f>Y76/V76</f>
        <v>0.19298818069755644</v>
      </c>
      <c r="AA76" t="s">
        <v>32</v>
      </c>
      <c r="AB76" t="s">
        <v>33</v>
      </c>
      <c r="AC76" s="14" t="s">
        <v>2794</v>
      </c>
      <c r="AD76" t="s">
        <v>2782</v>
      </c>
      <c r="AE76" t="str">
        <f>PROPER(TRIM(AB76))</f>
        <v>Completed</v>
      </c>
      <c r="AS76" t="str">
        <f t="shared" si="3"/>
        <v/>
      </c>
    </row>
    <row r="77" spans="1:45">
      <c r="A77" t="s">
        <v>333</v>
      </c>
      <c r="B77" s="7">
        <v>45891</v>
      </c>
      <c r="C77" s="4">
        <v>45896</v>
      </c>
      <c r="D77">
        <f>C77-B77</f>
        <v>5</v>
      </c>
      <c r="E77" t="str">
        <f>TEXT(B77,"mmmm")</f>
        <v>August</v>
      </c>
      <c r="F77">
        <f>YEAR(B77)</f>
        <v>2025</v>
      </c>
      <c r="G77" t="s">
        <v>334</v>
      </c>
      <c r="H77" t="s">
        <v>114</v>
      </c>
      <c r="I77" t="s">
        <v>37</v>
      </c>
      <c r="J77" t="s">
        <v>38</v>
      </c>
      <c r="K77" t="s">
        <v>39</v>
      </c>
      <c r="L77" t="s">
        <v>40</v>
      </c>
      <c r="M77" t="s">
        <v>28</v>
      </c>
      <c r="N77" t="s">
        <v>91</v>
      </c>
      <c r="O77" t="s">
        <v>335</v>
      </c>
      <c r="P77" t="s">
        <v>50</v>
      </c>
      <c r="Q77">
        <v>3</v>
      </c>
      <c r="R77">
        <v>3294.82</v>
      </c>
      <c r="S77">
        <v>0.2</v>
      </c>
      <c r="T77" s="12">
        <f>S77</f>
        <v>0.2</v>
      </c>
      <c r="U77">
        <v>7907.57</v>
      </c>
      <c r="V77">
        <f>Q77*R77*(1-S77)</f>
        <v>7907.5680000000011</v>
      </c>
      <c r="W77">
        <v>5391.18</v>
      </c>
      <c r="X77">
        <v>2516.39</v>
      </c>
      <c r="Y77">
        <f>V77-W77</f>
        <v>2516.3880000000008</v>
      </c>
      <c r="Z77" s="12">
        <f>Y77/V77</f>
        <v>0.31822527482533197</v>
      </c>
      <c r="AA77" t="s">
        <v>32</v>
      </c>
      <c r="AB77" t="s">
        <v>33</v>
      </c>
      <c r="AC77" s="14" t="s">
        <v>2794</v>
      </c>
      <c r="AD77" t="s">
        <v>2782</v>
      </c>
      <c r="AE77" t="str">
        <f>PROPER(TRIM(AB77))</f>
        <v>Completed</v>
      </c>
      <c r="AS77" t="str">
        <f t="shared" si="3"/>
        <v/>
      </c>
    </row>
    <row r="78" spans="1:45">
      <c r="A78" t="s">
        <v>336</v>
      </c>
      <c r="B78" s="7">
        <v>45599</v>
      </c>
      <c r="C78" s="4">
        <v>45607</v>
      </c>
      <c r="D78">
        <f>C78-B78</f>
        <v>8</v>
      </c>
      <c r="E78" t="str">
        <f>TEXT(B78,"mmmm")</f>
        <v>November</v>
      </c>
      <c r="F78">
        <f>YEAR(B78)</f>
        <v>2024</v>
      </c>
      <c r="G78" t="s">
        <v>337</v>
      </c>
      <c r="H78" t="s">
        <v>62</v>
      </c>
      <c r="I78" t="s">
        <v>90</v>
      </c>
      <c r="J78" t="s">
        <v>38</v>
      </c>
      <c r="K78" t="s">
        <v>228</v>
      </c>
      <c r="L78" t="s">
        <v>229</v>
      </c>
      <c r="M78" t="s">
        <v>28</v>
      </c>
      <c r="N78" t="s">
        <v>91</v>
      </c>
      <c r="O78" t="s">
        <v>338</v>
      </c>
      <c r="P78" t="s">
        <v>31</v>
      </c>
      <c r="Q78">
        <v>3</v>
      </c>
      <c r="R78">
        <v>3406.27</v>
      </c>
      <c r="S78">
        <v>0</v>
      </c>
      <c r="T78" s="12">
        <f>S78</f>
        <v>0</v>
      </c>
      <c r="U78">
        <v>10218.81</v>
      </c>
      <c r="V78">
        <f>Q78*R78*(1-S78)</f>
        <v>10218.81</v>
      </c>
      <c r="W78">
        <v>7616.97</v>
      </c>
      <c r="X78">
        <v>2601.84</v>
      </c>
      <c r="Y78">
        <f>V78-W78</f>
        <v>2601.8399999999992</v>
      </c>
      <c r="Z78" s="12">
        <f>Y78/V78</f>
        <v>0.2546128169522674</v>
      </c>
      <c r="AA78" t="s">
        <v>32</v>
      </c>
      <c r="AB78" t="s">
        <v>33</v>
      </c>
      <c r="AC78" s="14" t="s">
        <v>2794</v>
      </c>
      <c r="AD78" t="s">
        <v>2782</v>
      </c>
      <c r="AE78" t="str">
        <f>PROPER(TRIM(AB78))</f>
        <v>Completed</v>
      </c>
      <c r="AS78" t="str">
        <f t="shared" si="3"/>
        <v/>
      </c>
    </row>
    <row r="79" spans="1:45">
      <c r="A79" t="s">
        <v>339</v>
      </c>
      <c r="B79" s="7">
        <v>45876</v>
      </c>
      <c r="C79" s="4">
        <v>45850</v>
      </c>
      <c r="D79" s="10">
        <f>C79-B79</f>
        <v>-26</v>
      </c>
      <c r="E79" t="str">
        <f>TEXT(B79,"mmmm")</f>
        <v>August</v>
      </c>
      <c r="F79">
        <f>YEAR(B79)</f>
        <v>2025</v>
      </c>
      <c r="G79" t="s">
        <v>340</v>
      </c>
      <c r="H79" t="s">
        <v>141</v>
      </c>
      <c r="I79" t="s">
        <v>95</v>
      </c>
      <c r="J79" t="s">
        <v>25</v>
      </c>
      <c r="K79" t="s">
        <v>136</v>
      </c>
      <c r="L79" t="s">
        <v>137</v>
      </c>
      <c r="M79" t="s">
        <v>41</v>
      </c>
      <c r="N79" t="s">
        <v>57</v>
      </c>
      <c r="O79" t="s">
        <v>341</v>
      </c>
      <c r="P79" t="s">
        <v>59</v>
      </c>
      <c r="Q79">
        <v>1</v>
      </c>
      <c r="R79">
        <v>2582.1999999999998</v>
      </c>
      <c r="S79">
        <v>0.15</v>
      </c>
      <c r="T79" s="12">
        <f>S79</f>
        <v>0.15</v>
      </c>
      <c r="U79">
        <v>2194.87</v>
      </c>
      <c r="V79">
        <f>Q79*R79*(1-S79)</f>
        <v>2194.87</v>
      </c>
      <c r="W79">
        <v>1223.17</v>
      </c>
      <c r="X79">
        <v>971.7</v>
      </c>
      <c r="Y79">
        <f>V79-W79</f>
        <v>971.69999999999982</v>
      </c>
      <c r="Z79" s="12">
        <f>Y79/V79</f>
        <v>0.44271414707932583</v>
      </c>
      <c r="AA79" t="s">
        <v>102</v>
      </c>
      <c r="AB79" t="s">
        <v>68</v>
      </c>
      <c r="AC79" s="10" t="s">
        <v>2792</v>
      </c>
      <c r="AD79" t="s">
        <v>2782</v>
      </c>
      <c r="AE79" t="str">
        <f>PROPER(TRIM(AB79))</f>
        <v>Cancelled</v>
      </c>
      <c r="AS79" t="str">
        <f t="shared" si="3"/>
        <v/>
      </c>
    </row>
    <row r="80" spans="1:45">
      <c r="A80" t="s">
        <v>342</v>
      </c>
      <c r="B80" s="7">
        <v>45854</v>
      </c>
      <c r="C80" s="4">
        <v>45859</v>
      </c>
      <c r="D80">
        <f>C80-B80</f>
        <v>5</v>
      </c>
      <c r="E80" t="str">
        <f>TEXT(B80,"mmmm")</f>
        <v>July</v>
      </c>
      <c r="F80">
        <f>YEAR(B80)</f>
        <v>2025</v>
      </c>
      <c r="G80" t="s">
        <v>343</v>
      </c>
      <c r="H80" t="s">
        <v>132</v>
      </c>
      <c r="I80" t="s">
        <v>90</v>
      </c>
      <c r="J80" t="s">
        <v>38</v>
      </c>
      <c r="K80" t="s">
        <v>99</v>
      </c>
      <c r="L80" t="s">
        <v>100</v>
      </c>
      <c r="M80" t="s">
        <v>41</v>
      </c>
      <c r="N80" t="s">
        <v>42</v>
      </c>
      <c r="O80" t="s">
        <v>344</v>
      </c>
      <c r="P80" t="s">
        <v>50</v>
      </c>
      <c r="Q80">
        <v>5</v>
      </c>
      <c r="R80">
        <v>2129.5100000000002</v>
      </c>
      <c r="S80">
        <v>0.15</v>
      </c>
      <c r="T80" s="12">
        <f>S80</f>
        <v>0.15</v>
      </c>
      <c r="U80">
        <v>9050.42</v>
      </c>
      <c r="V80">
        <f>Q80*R80*(1-S80)</f>
        <v>9050.4175000000014</v>
      </c>
      <c r="W80">
        <v>6778.85</v>
      </c>
      <c r="X80">
        <v>2271.5700000000002</v>
      </c>
      <c r="Y80">
        <f>V80-W80</f>
        <v>2271.567500000001</v>
      </c>
      <c r="Z80" s="12">
        <f>Y80/V80</f>
        <v>0.25099035486484472</v>
      </c>
      <c r="AA80" t="s">
        <v>32</v>
      </c>
      <c r="AB80" t="s">
        <v>33</v>
      </c>
      <c r="AC80" s="14" t="s">
        <v>2794</v>
      </c>
      <c r="AD80" t="s">
        <v>2782</v>
      </c>
      <c r="AE80" t="str">
        <f>PROPER(TRIM(AB80))</f>
        <v>Completed</v>
      </c>
      <c r="AS80" t="str">
        <f t="shared" si="3"/>
        <v/>
      </c>
    </row>
    <row r="81" spans="1:45">
      <c r="A81" t="s">
        <v>345</v>
      </c>
      <c r="B81" s="7">
        <v>45927</v>
      </c>
      <c r="C81" s="4">
        <v>45933</v>
      </c>
      <c r="D81">
        <f>C81-B81</f>
        <v>6</v>
      </c>
      <c r="E81" t="str">
        <f>TEXT(B81,"mmmm")</f>
        <v>September</v>
      </c>
      <c r="F81">
        <f>YEAR(B81)</f>
        <v>2025</v>
      </c>
      <c r="G81" t="s">
        <v>346</v>
      </c>
      <c r="H81" t="s">
        <v>162</v>
      </c>
      <c r="I81" t="s">
        <v>95</v>
      </c>
      <c r="J81" t="s">
        <v>54</v>
      </c>
      <c r="K81" t="s">
        <v>247</v>
      </c>
      <c r="L81" t="s">
        <v>248</v>
      </c>
      <c r="M81" t="s">
        <v>41</v>
      </c>
      <c r="N81" t="s">
        <v>66</v>
      </c>
      <c r="O81" t="s">
        <v>347</v>
      </c>
      <c r="P81" t="s">
        <v>44</v>
      </c>
      <c r="Q81">
        <v>9</v>
      </c>
      <c r="R81">
        <v>4131.5200000000004</v>
      </c>
      <c r="S81">
        <v>0.1</v>
      </c>
      <c r="T81" s="12">
        <f>S81</f>
        <v>0.1</v>
      </c>
      <c r="U81">
        <v>33465.31</v>
      </c>
      <c r="V81">
        <f>Q81*R81*(1-S81)</f>
        <v>33465.312000000005</v>
      </c>
      <c r="W81">
        <v>24781.26</v>
      </c>
      <c r="X81">
        <v>8684.0499999999993</v>
      </c>
      <c r="Y81">
        <f>V81-W81</f>
        <v>8684.052000000007</v>
      </c>
      <c r="Z81" s="12">
        <f>Y81/V81</f>
        <v>0.25949412932411942</v>
      </c>
      <c r="AA81" t="s">
        <v>32</v>
      </c>
      <c r="AB81" t="s">
        <v>33</v>
      </c>
      <c r="AC81" s="14" t="s">
        <v>2794</v>
      </c>
      <c r="AD81" t="s">
        <v>2782</v>
      </c>
      <c r="AE81" t="str">
        <f>PROPER(TRIM(AB81))</f>
        <v>Completed</v>
      </c>
      <c r="AS81" t="str">
        <f t="shared" si="3"/>
        <v/>
      </c>
    </row>
    <row r="82" spans="1:45">
      <c r="A82" t="s">
        <v>348</v>
      </c>
      <c r="B82" s="7">
        <v>45514</v>
      </c>
      <c r="C82" s="4">
        <v>45518</v>
      </c>
      <c r="D82">
        <f>C82-B82</f>
        <v>4</v>
      </c>
      <c r="E82" t="str">
        <f>TEXT(B82,"mmmm")</f>
        <v>August</v>
      </c>
      <c r="F82">
        <f>YEAR(B82)</f>
        <v>2024</v>
      </c>
      <c r="G82" t="s">
        <v>349</v>
      </c>
      <c r="H82" t="s">
        <v>128</v>
      </c>
      <c r="I82" t="s">
        <v>37</v>
      </c>
      <c r="J82" t="s">
        <v>25</v>
      </c>
      <c r="K82" t="s">
        <v>350</v>
      </c>
      <c r="L82" t="s">
        <v>351</v>
      </c>
      <c r="M82" t="s">
        <v>28</v>
      </c>
      <c r="N82" t="s">
        <v>124</v>
      </c>
      <c r="O82" t="s">
        <v>352</v>
      </c>
      <c r="P82" t="s">
        <v>31</v>
      </c>
      <c r="Q82">
        <v>4</v>
      </c>
      <c r="R82">
        <v>1182.32</v>
      </c>
      <c r="S82">
        <v>0.1</v>
      </c>
      <c r="T82" s="12">
        <f>S82</f>
        <v>0.1</v>
      </c>
      <c r="U82">
        <v>4256.3500000000004</v>
      </c>
      <c r="V82">
        <f>Q82*R82*(1-S82)</f>
        <v>4256.3519999999999</v>
      </c>
      <c r="W82">
        <v>2495.33</v>
      </c>
      <c r="X82">
        <v>1761.02</v>
      </c>
      <c r="Y82">
        <f>V82-W82</f>
        <v>1761.0219999999999</v>
      </c>
      <c r="Z82" s="12">
        <f>Y82/V82</f>
        <v>0.41373974708858663</v>
      </c>
      <c r="AA82" t="s">
        <v>111</v>
      </c>
      <c r="AB82" t="s">
        <v>103</v>
      </c>
      <c r="AC82" s="14" t="s">
        <v>2794</v>
      </c>
      <c r="AD82" t="s">
        <v>2782</v>
      </c>
      <c r="AE82" t="str">
        <f>PROPER(TRIM(AB82))</f>
        <v>Returned</v>
      </c>
      <c r="AS82" t="str">
        <f t="shared" si="3"/>
        <v/>
      </c>
    </row>
    <row r="83" spans="1:45">
      <c r="A83" t="s">
        <v>353</v>
      </c>
      <c r="B83" s="7">
        <v>45732</v>
      </c>
      <c r="C83" s="4">
        <v>45733</v>
      </c>
      <c r="D83">
        <f>C83-B83</f>
        <v>1</v>
      </c>
      <c r="E83" t="str">
        <f>TEXT(B83,"mmmm")</f>
        <v>March</v>
      </c>
      <c r="F83">
        <f>YEAR(B83)</f>
        <v>2025</v>
      </c>
      <c r="G83" t="s">
        <v>354</v>
      </c>
      <c r="H83" t="s">
        <v>23</v>
      </c>
      <c r="I83" t="s">
        <v>95</v>
      </c>
      <c r="J83" t="s">
        <v>63</v>
      </c>
      <c r="K83" t="s">
        <v>190</v>
      </c>
      <c r="L83" t="s">
        <v>191</v>
      </c>
      <c r="M83" t="s">
        <v>28</v>
      </c>
      <c r="N83" t="s">
        <v>91</v>
      </c>
      <c r="O83" t="s">
        <v>355</v>
      </c>
      <c r="P83" t="s">
        <v>44</v>
      </c>
      <c r="Q83">
        <v>3</v>
      </c>
      <c r="R83">
        <v>1841.91</v>
      </c>
      <c r="S83">
        <v>0</v>
      </c>
      <c r="T83" s="12">
        <f>S83</f>
        <v>0</v>
      </c>
      <c r="U83">
        <v>5525.73</v>
      </c>
      <c r="V83">
        <f>Q83*R83*(1-S83)</f>
        <v>5525.7300000000005</v>
      </c>
      <c r="W83">
        <v>3093.42</v>
      </c>
      <c r="X83">
        <v>2432.31</v>
      </c>
      <c r="Y83">
        <f>V83-W83</f>
        <v>2432.3100000000004</v>
      </c>
      <c r="Z83" s="12">
        <f>Y83/V83</f>
        <v>0.44017894468242208</v>
      </c>
      <c r="AA83" t="s">
        <v>32</v>
      </c>
      <c r="AB83" t="s">
        <v>33</v>
      </c>
      <c r="AC83" s="14" t="s">
        <v>2794</v>
      </c>
      <c r="AD83" t="s">
        <v>2782</v>
      </c>
      <c r="AE83" t="str">
        <f>PROPER(TRIM(AB83))</f>
        <v>Completed</v>
      </c>
      <c r="AS83" t="str">
        <f t="shared" si="3"/>
        <v/>
      </c>
    </row>
    <row r="84" spans="1:45">
      <c r="A84" t="s">
        <v>356</v>
      </c>
      <c r="B84" s="7">
        <v>45507</v>
      </c>
      <c r="C84" s="4">
        <v>45508</v>
      </c>
      <c r="D84">
        <f>C84-B84</f>
        <v>1</v>
      </c>
      <c r="E84" t="str">
        <f>TEXT(B84,"mmmm")</f>
        <v>August</v>
      </c>
      <c r="F84">
        <f>YEAR(B84)</f>
        <v>2024</v>
      </c>
      <c r="G84" t="s">
        <v>357</v>
      </c>
      <c r="H84" t="s">
        <v>53</v>
      </c>
      <c r="I84" t="s">
        <v>24</v>
      </c>
      <c r="J84" t="s">
        <v>25</v>
      </c>
      <c r="K84" t="s">
        <v>136</v>
      </c>
      <c r="L84" t="s">
        <v>137</v>
      </c>
      <c r="M84" t="s">
        <v>74</v>
      </c>
      <c r="N84" t="s">
        <v>80</v>
      </c>
      <c r="O84" t="s">
        <v>358</v>
      </c>
      <c r="P84" t="s">
        <v>31</v>
      </c>
      <c r="Q84">
        <v>6</v>
      </c>
      <c r="R84">
        <v>1001.73</v>
      </c>
      <c r="S84">
        <v>0</v>
      </c>
      <c r="T84" s="12">
        <f>S84</f>
        <v>0</v>
      </c>
      <c r="U84">
        <v>6010.38</v>
      </c>
      <c r="V84">
        <f>Q84*R84*(1-S84)</f>
        <v>6010.38</v>
      </c>
      <c r="W84">
        <v>3762.85</v>
      </c>
      <c r="X84">
        <v>2247.5300000000002</v>
      </c>
      <c r="Y84">
        <f>V84-W84</f>
        <v>2247.5300000000002</v>
      </c>
      <c r="Z84" s="12">
        <f>Y84/V84</f>
        <v>0.37394141468592673</v>
      </c>
      <c r="AA84" t="s">
        <v>155</v>
      </c>
      <c r="AB84" t="s">
        <v>103</v>
      </c>
      <c r="AC84" s="14" t="s">
        <v>2794</v>
      </c>
      <c r="AD84" t="s">
        <v>2782</v>
      </c>
      <c r="AE84" t="str">
        <f>PROPER(TRIM(AB84))</f>
        <v>Returned</v>
      </c>
      <c r="AS84" t="str">
        <f t="shared" si="3"/>
        <v/>
      </c>
    </row>
    <row r="85" spans="1:45">
      <c r="A85" t="s">
        <v>359</v>
      </c>
      <c r="B85" s="7">
        <v>45591</v>
      </c>
      <c r="C85" s="4">
        <v>45594</v>
      </c>
      <c r="D85">
        <f>C85-B85</f>
        <v>3</v>
      </c>
      <c r="E85" t="str">
        <f>TEXT(B85,"mmmm")</f>
        <v>October</v>
      </c>
      <c r="F85">
        <f>YEAR(B85)</f>
        <v>2024</v>
      </c>
      <c r="G85" t="s">
        <v>360</v>
      </c>
      <c r="H85" t="s">
        <v>89</v>
      </c>
      <c r="I85" t="s">
        <v>95</v>
      </c>
      <c r="J85" t="s">
        <v>63</v>
      </c>
      <c r="K85" t="s">
        <v>64</v>
      </c>
      <c r="L85" t="s">
        <v>65</v>
      </c>
      <c r="M85" t="s">
        <v>41</v>
      </c>
      <c r="N85" t="s">
        <v>42</v>
      </c>
      <c r="O85" t="s">
        <v>361</v>
      </c>
      <c r="P85" t="s">
        <v>31</v>
      </c>
      <c r="Q85">
        <v>9</v>
      </c>
      <c r="R85">
        <v>131.74</v>
      </c>
      <c r="S85">
        <v>0.2</v>
      </c>
      <c r="T85" s="12">
        <f>S85</f>
        <v>0.2</v>
      </c>
      <c r="U85">
        <v>948.53</v>
      </c>
      <c r="V85">
        <f>Q85*R85*(1-S85)</f>
        <v>948.52800000000013</v>
      </c>
      <c r="W85">
        <v>674.62</v>
      </c>
      <c r="X85">
        <v>273.91000000000003</v>
      </c>
      <c r="Y85">
        <f>V85-W85</f>
        <v>273.90800000000013</v>
      </c>
      <c r="Z85" s="12">
        <f>Y85/V85</f>
        <v>0.28877165460587362</v>
      </c>
      <c r="AA85" t="s">
        <v>32</v>
      </c>
      <c r="AB85" t="s">
        <v>33</v>
      </c>
      <c r="AC85" s="14" t="s">
        <v>2794</v>
      </c>
      <c r="AD85" t="s">
        <v>2782</v>
      </c>
      <c r="AE85" t="str">
        <f>PROPER(TRIM(AB85))</f>
        <v>Completed</v>
      </c>
      <c r="AS85" t="str">
        <f t="shared" si="3"/>
        <v/>
      </c>
    </row>
    <row r="86" spans="1:45">
      <c r="A86" t="s">
        <v>362</v>
      </c>
      <c r="B86" s="7">
        <v>45566</v>
      </c>
      <c r="C86" s="4">
        <v>45568</v>
      </c>
      <c r="D86">
        <f>C86-B86</f>
        <v>2</v>
      </c>
      <c r="E86" t="str">
        <f>TEXT(B86,"mmmm")</f>
        <v>October</v>
      </c>
      <c r="F86">
        <f>YEAR(B86)</f>
        <v>2024</v>
      </c>
      <c r="G86" t="s">
        <v>363</v>
      </c>
      <c r="H86" t="s">
        <v>141</v>
      </c>
      <c r="I86" t="s">
        <v>90</v>
      </c>
      <c r="J86" t="s">
        <v>54</v>
      </c>
      <c r="K86" t="s">
        <v>247</v>
      </c>
      <c r="L86" t="s">
        <v>248</v>
      </c>
      <c r="M86" t="s">
        <v>74</v>
      </c>
      <c r="N86" t="s">
        <v>171</v>
      </c>
      <c r="O86" t="s">
        <v>364</v>
      </c>
      <c r="P86" t="s">
        <v>31</v>
      </c>
      <c r="Q86">
        <v>6</v>
      </c>
      <c r="R86">
        <v>570.28</v>
      </c>
      <c r="S86">
        <v>0.2</v>
      </c>
      <c r="T86" s="12">
        <f>S86</f>
        <v>0.2</v>
      </c>
      <c r="U86">
        <v>2737.34</v>
      </c>
      <c r="V86">
        <f>Q86*R86*(1-S86)</f>
        <v>2737.3440000000001</v>
      </c>
      <c r="W86">
        <v>2085.44</v>
      </c>
      <c r="X86">
        <v>651.9</v>
      </c>
      <c r="Y86">
        <f>V86-W86</f>
        <v>651.904</v>
      </c>
      <c r="Z86" s="12">
        <f>Y86/V86</f>
        <v>0.23815201889130486</v>
      </c>
      <c r="AA86" t="s">
        <v>32</v>
      </c>
      <c r="AB86" t="s">
        <v>33</v>
      </c>
      <c r="AC86" s="14" t="s">
        <v>2794</v>
      </c>
      <c r="AD86" t="s">
        <v>2782</v>
      </c>
      <c r="AE86" t="str">
        <f>PROPER(TRIM(AB86))</f>
        <v>Completed</v>
      </c>
      <c r="AS86" t="str">
        <f t="shared" si="3"/>
        <v/>
      </c>
    </row>
    <row r="87" spans="1:45">
      <c r="A87" t="s">
        <v>365</v>
      </c>
      <c r="B87" s="7">
        <v>45503</v>
      </c>
      <c r="C87" s="4">
        <v>45420</v>
      </c>
      <c r="D87" s="10">
        <f>C87-B87</f>
        <v>-83</v>
      </c>
      <c r="E87" t="str">
        <f>TEXT(B87,"mmmm")</f>
        <v>July</v>
      </c>
      <c r="F87">
        <f>YEAR(B87)</f>
        <v>2024</v>
      </c>
      <c r="G87" t="s">
        <v>366</v>
      </c>
      <c r="H87" t="s">
        <v>264</v>
      </c>
      <c r="I87" t="s">
        <v>90</v>
      </c>
      <c r="J87" t="s">
        <v>25</v>
      </c>
      <c r="K87" t="s">
        <v>350</v>
      </c>
      <c r="L87" t="s">
        <v>351</v>
      </c>
      <c r="M87" t="s">
        <v>28</v>
      </c>
      <c r="N87" t="s">
        <v>153</v>
      </c>
      <c r="O87" t="s">
        <v>367</v>
      </c>
      <c r="P87" t="s">
        <v>59</v>
      </c>
      <c r="Q87">
        <v>1</v>
      </c>
      <c r="R87">
        <v>608.64</v>
      </c>
      <c r="S87">
        <v>0</v>
      </c>
      <c r="T87" s="12">
        <f>S87</f>
        <v>0</v>
      </c>
      <c r="U87">
        <v>608.64</v>
      </c>
      <c r="V87">
        <f>Q87*R87*(1-S87)</f>
        <v>608.64</v>
      </c>
      <c r="W87">
        <v>343.99</v>
      </c>
      <c r="X87">
        <v>264.64999999999998</v>
      </c>
      <c r="Y87">
        <f>V87-W87</f>
        <v>264.64999999999998</v>
      </c>
      <c r="Z87" s="12">
        <f>Y87/V87</f>
        <v>0.43482189800210302</v>
      </c>
      <c r="AA87" t="s">
        <v>32</v>
      </c>
      <c r="AB87" t="s">
        <v>68</v>
      </c>
      <c r="AC87" s="10" t="s">
        <v>2792</v>
      </c>
      <c r="AD87" t="s">
        <v>2782</v>
      </c>
      <c r="AE87" t="str">
        <f>PROPER(TRIM(AB87))</f>
        <v>Cancelled</v>
      </c>
      <c r="AS87" t="str">
        <f t="shared" si="3"/>
        <v/>
      </c>
    </row>
    <row r="88" spans="1:45">
      <c r="A88" t="s">
        <v>368</v>
      </c>
      <c r="B88" s="7">
        <v>45474</v>
      </c>
      <c r="C88" s="4">
        <v>45474</v>
      </c>
      <c r="D88">
        <f>C88-B88</f>
        <v>0</v>
      </c>
      <c r="E88" t="str">
        <f>TEXT(B88,"mmmm")</f>
        <v>July</v>
      </c>
      <c r="F88">
        <f>YEAR(B88)</f>
        <v>2024</v>
      </c>
      <c r="G88" t="s">
        <v>369</v>
      </c>
      <c r="H88" t="s">
        <v>62</v>
      </c>
      <c r="I88" t="s">
        <v>37</v>
      </c>
      <c r="J88" t="s">
        <v>25</v>
      </c>
      <c r="K88" t="s">
        <v>350</v>
      </c>
      <c r="L88" t="s">
        <v>351</v>
      </c>
      <c r="M88" t="s">
        <v>74</v>
      </c>
      <c r="N88" t="s">
        <v>80</v>
      </c>
      <c r="O88" t="s">
        <v>370</v>
      </c>
      <c r="P88" t="s">
        <v>31</v>
      </c>
      <c r="Q88">
        <v>3</v>
      </c>
      <c r="R88">
        <v>885.28</v>
      </c>
      <c r="S88">
        <v>0.1</v>
      </c>
      <c r="T88" s="12">
        <f>S88</f>
        <v>0.1</v>
      </c>
      <c r="U88">
        <v>2390.2600000000002</v>
      </c>
      <c r="V88">
        <f>Q88*R88*(1-S88)</f>
        <v>2390.2560000000003</v>
      </c>
      <c r="W88">
        <v>1495.94</v>
      </c>
      <c r="X88">
        <v>894.32</v>
      </c>
      <c r="Y88">
        <f>V88-W88</f>
        <v>894.31600000000026</v>
      </c>
      <c r="Z88" s="12">
        <f>Y88/V88</f>
        <v>0.37415071858411825</v>
      </c>
      <c r="AA88" t="s">
        <v>102</v>
      </c>
      <c r="AB88" t="s">
        <v>68</v>
      </c>
      <c r="AC88" s="14" t="s">
        <v>2794</v>
      </c>
      <c r="AD88" t="s">
        <v>2782</v>
      </c>
      <c r="AE88" t="str">
        <f>PROPER(TRIM(AB88))</f>
        <v>Cancelled</v>
      </c>
      <c r="AS88" t="str">
        <f t="shared" si="3"/>
        <v/>
      </c>
    </row>
    <row r="89" spans="1:45">
      <c r="A89" t="s">
        <v>371</v>
      </c>
      <c r="B89" s="7">
        <v>45506</v>
      </c>
      <c r="C89" s="4">
        <v>45507</v>
      </c>
      <c r="D89">
        <f>C89-B89</f>
        <v>1</v>
      </c>
      <c r="E89" t="str">
        <f>TEXT(B89,"mmmm")</f>
        <v>August</v>
      </c>
      <c r="F89">
        <f>YEAR(B89)</f>
        <v>2024</v>
      </c>
      <c r="G89" t="s">
        <v>372</v>
      </c>
      <c r="H89" t="s">
        <v>71</v>
      </c>
      <c r="I89" t="s">
        <v>24</v>
      </c>
      <c r="J89" t="s">
        <v>38</v>
      </c>
      <c r="K89" t="s">
        <v>166</v>
      </c>
      <c r="L89" t="s">
        <v>167</v>
      </c>
      <c r="M89" t="s">
        <v>28</v>
      </c>
      <c r="N89" t="s">
        <v>153</v>
      </c>
      <c r="O89" t="s">
        <v>373</v>
      </c>
      <c r="P89" t="s">
        <v>59</v>
      </c>
      <c r="Q89">
        <v>7</v>
      </c>
      <c r="R89">
        <v>3345.22</v>
      </c>
      <c r="S89">
        <v>0</v>
      </c>
      <c r="T89" s="12">
        <f>S89</f>
        <v>0</v>
      </c>
      <c r="U89">
        <v>23416.54</v>
      </c>
      <c r="V89">
        <f>Q89*R89*(1-S89)</f>
        <v>23416.539999999997</v>
      </c>
      <c r="W89">
        <v>15490.89</v>
      </c>
      <c r="X89">
        <v>7925.65</v>
      </c>
      <c r="Y89">
        <f>V89-W89</f>
        <v>7925.6499999999978</v>
      </c>
      <c r="Z89" s="12">
        <f>Y89/V89</f>
        <v>0.33846375254414185</v>
      </c>
      <c r="AA89" t="s">
        <v>32</v>
      </c>
      <c r="AB89" t="s">
        <v>33</v>
      </c>
      <c r="AC89" s="14" t="s">
        <v>2794</v>
      </c>
      <c r="AD89" t="s">
        <v>2782</v>
      </c>
      <c r="AE89" t="str">
        <f>PROPER(TRIM(AB89))</f>
        <v>Completed</v>
      </c>
      <c r="AS89" t="str">
        <f t="shared" si="3"/>
        <v/>
      </c>
    </row>
    <row r="90" spans="1:45">
      <c r="A90" t="s">
        <v>374</v>
      </c>
      <c r="B90" s="7">
        <v>45375</v>
      </c>
      <c r="C90" s="4">
        <v>45378</v>
      </c>
      <c r="D90">
        <f>C90-B90</f>
        <v>3</v>
      </c>
      <c r="E90" t="str">
        <f>TEXT(B90,"mmmm")</f>
        <v>March</v>
      </c>
      <c r="F90">
        <f>YEAR(B90)</f>
        <v>2024</v>
      </c>
      <c r="G90" t="s">
        <v>375</v>
      </c>
      <c r="H90" t="s">
        <v>141</v>
      </c>
      <c r="I90" t="s">
        <v>37</v>
      </c>
      <c r="J90" t="s">
        <v>63</v>
      </c>
      <c r="K90" t="s">
        <v>64</v>
      </c>
      <c r="L90" t="s">
        <v>65</v>
      </c>
      <c r="M90" t="s">
        <v>41</v>
      </c>
      <c r="N90" t="s">
        <v>158</v>
      </c>
      <c r="O90" t="s">
        <v>376</v>
      </c>
      <c r="P90" t="s">
        <v>59</v>
      </c>
      <c r="Q90">
        <v>2</v>
      </c>
      <c r="R90">
        <v>3284.75</v>
      </c>
      <c r="S90">
        <v>0.05</v>
      </c>
      <c r="T90" s="12">
        <f>S90</f>
        <v>0.05</v>
      </c>
      <c r="U90">
        <v>6241.02</v>
      </c>
      <c r="V90">
        <f>Q90*R90*(1-S90)</f>
        <v>6241.0249999999996</v>
      </c>
      <c r="W90">
        <v>5345.88</v>
      </c>
      <c r="X90">
        <v>895.14</v>
      </c>
      <c r="Y90">
        <f>V90-W90</f>
        <v>895.14499999999953</v>
      </c>
      <c r="Z90" s="12">
        <f>Y90/V90</f>
        <v>0.14342916427990587</v>
      </c>
      <c r="AA90" t="s">
        <v>32</v>
      </c>
      <c r="AB90" t="s">
        <v>33</v>
      </c>
      <c r="AC90" s="14" t="s">
        <v>2794</v>
      </c>
      <c r="AD90" t="s">
        <v>2782</v>
      </c>
      <c r="AE90" t="str">
        <f>PROPER(TRIM(AB90))</f>
        <v>Completed</v>
      </c>
      <c r="AS90" t="str">
        <f t="shared" si="3"/>
        <v/>
      </c>
    </row>
    <row r="91" spans="1:45">
      <c r="A91" t="s">
        <v>377</v>
      </c>
      <c r="B91" s="7">
        <v>45540</v>
      </c>
      <c r="C91" s="4">
        <v>45540</v>
      </c>
      <c r="D91">
        <f>C91-B91</f>
        <v>0</v>
      </c>
      <c r="E91" t="str">
        <f>TEXT(B91,"mmmm")</f>
        <v>September</v>
      </c>
      <c r="F91">
        <f>YEAR(B91)</f>
        <v>2024</v>
      </c>
      <c r="G91" t="s">
        <v>378</v>
      </c>
      <c r="H91" t="s">
        <v>264</v>
      </c>
      <c r="I91" t="s">
        <v>24</v>
      </c>
      <c r="J91" t="s">
        <v>54</v>
      </c>
      <c r="K91" t="s">
        <v>84</v>
      </c>
      <c r="L91" t="s">
        <v>85</v>
      </c>
      <c r="M91" t="s">
        <v>41</v>
      </c>
      <c r="N91" t="s">
        <v>158</v>
      </c>
      <c r="O91" t="s">
        <v>379</v>
      </c>
      <c r="P91" t="s">
        <v>59</v>
      </c>
      <c r="Q91">
        <v>7</v>
      </c>
      <c r="R91">
        <v>3761.09</v>
      </c>
      <c r="S91">
        <v>0.2</v>
      </c>
      <c r="T91" s="12">
        <f>S91</f>
        <v>0.2</v>
      </c>
      <c r="U91">
        <v>21062.1</v>
      </c>
      <c r="V91">
        <f>Q91*R91*(1-S91)</f>
        <v>21062.104000000003</v>
      </c>
      <c r="W91">
        <v>12057.13</v>
      </c>
      <c r="X91">
        <v>9004.9699999999993</v>
      </c>
      <c r="Y91">
        <f>V91-W91</f>
        <v>9004.9740000000038</v>
      </c>
      <c r="Z91" s="12">
        <f>Y91/V91</f>
        <v>0.42754389589947911</v>
      </c>
      <c r="AA91" t="s">
        <v>111</v>
      </c>
      <c r="AB91" t="s">
        <v>68</v>
      </c>
      <c r="AC91" s="14" t="s">
        <v>2794</v>
      </c>
      <c r="AD91" t="s">
        <v>2782</v>
      </c>
      <c r="AE91" t="str">
        <f>PROPER(TRIM(AB91))</f>
        <v>Cancelled</v>
      </c>
      <c r="AS91" t="str">
        <f t="shared" si="3"/>
        <v/>
      </c>
    </row>
    <row r="92" spans="1:45">
      <c r="A92" t="s">
        <v>380</v>
      </c>
      <c r="B92" s="7">
        <v>45893</v>
      </c>
      <c r="C92" s="4">
        <v>45898</v>
      </c>
      <c r="D92">
        <f>C92-B92</f>
        <v>5</v>
      </c>
      <c r="E92" t="str">
        <f>TEXT(B92,"mmmm")</f>
        <v>August</v>
      </c>
      <c r="F92">
        <f>YEAR(B92)</f>
        <v>2025</v>
      </c>
      <c r="G92" t="s">
        <v>381</v>
      </c>
      <c r="H92" t="s">
        <v>128</v>
      </c>
      <c r="I92" t="s">
        <v>37</v>
      </c>
      <c r="J92" t="s">
        <v>38</v>
      </c>
      <c r="K92" t="s">
        <v>145</v>
      </c>
      <c r="L92" t="s">
        <v>146</v>
      </c>
      <c r="M92" t="s">
        <v>74</v>
      </c>
      <c r="N92" t="s">
        <v>80</v>
      </c>
      <c r="O92" t="s">
        <v>382</v>
      </c>
      <c r="P92" t="s">
        <v>50</v>
      </c>
      <c r="Q92">
        <v>3</v>
      </c>
      <c r="R92">
        <v>3703.96</v>
      </c>
      <c r="S92">
        <v>0.15</v>
      </c>
      <c r="T92" s="12">
        <f>S92</f>
        <v>0.15</v>
      </c>
      <c r="U92">
        <v>9445.1</v>
      </c>
      <c r="V92">
        <f>Q92*R92*(1-S92)</f>
        <v>9445.098</v>
      </c>
      <c r="W92">
        <v>5586.28</v>
      </c>
      <c r="X92">
        <v>3858.82</v>
      </c>
      <c r="Y92">
        <f>V92-W92</f>
        <v>3858.8180000000002</v>
      </c>
      <c r="Z92" s="12">
        <f>Y92/V92</f>
        <v>0.40855245758170006</v>
      </c>
      <c r="AA92" t="s">
        <v>32</v>
      </c>
      <c r="AB92" t="s">
        <v>33</v>
      </c>
      <c r="AC92" s="14" t="s">
        <v>2794</v>
      </c>
      <c r="AD92" t="s">
        <v>2782</v>
      </c>
      <c r="AE92" t="str">
        <f>PROPER(TRIM(AB92))</f>
        <v>Completed</v>
      </c>
      <c r="AS92" t="str">
        <f t="shared" si="3"/>
        <v/>
      </c>
    </row>
    <row r="93" spans="1:45">
      <c r="A93" t="s">
        <v>383</v>
      </c>
      <c r="B93" s="7">
        <v>45718</v>
      </c>
      <c r="C93" s="4">
        <v>45872</v>
      </c>
      <c r="D93">
        <f>C93-B93</f>
        <v>154</v>
      </c>
      <c r="E93" t="str">
        <f>TEXT(B93,"mmmm")</f>
        <v>March</v>
      </c>
      <c r="F93">
        <f>YEAR(B93)</f>
        <v>2025</v>
      </c>
      <c r="G93" t="s">
        <v>384</v>
      </c>
      <c r="H93" t="s">
        <v>132</v>
      </c>
      <c r="I93" t="s">
        <v>90</v>
      </c>
      <c r="J93" t="s">
        <v>63</v>
      </c>
      <c r="K93" t="s">
        <v>72</v>
      </c>
      <c r="L93" t="s">
        <v>73</v>
      </c>
      <c r="M93" t="s">
        <v>74</v>
      </c>
      <c r="N93" t="s">
        <v>80</v>
      </c>
      <c r="O93" t="s">
        <v>385</v>
      </c>
      <c r="P93" t="s">
        <v>31</v>
      </c>
      <c r="Q93">
        <v>9</v>
      </c>
      <c r="R93">
        <v>269.68</v>
      </c>
      <c r="S93">
        <v>0</v>
      </c>
      <c r="T93" s="12">
        <f>S93</f>
        <v>0</v>
      </c>
      <c r="U93">
        <v>2427.12</v>
      </c>
      <c r="V93">
        <f>Q93*R93*(1-S93)</f>
        <v>2427.12</v>
      </c>
      <c r="W93">
        <v>1538.35</v>
      </c>
      <c r="X93">
        <v>804.53</v>
      </c>
      <c r="Y93">
        <f>V93-W93</f>
        <v>888.77</v>
      </c>
      <c r="Z93" s="12">
        <f>Y93/V93</f>
        <v>0.36618296581957216</v>
      </c>
      <c r="AA93" t="s">
        <v>32</v>
      </c>
      <c r="AB93" t="s">
        <v>33</v>
      </c>
      <c r="AC93" s="14" t="s">
        <v>2794</v>
      </c>
      <c r="AD93" t="s">
        <v>2782</v>
      </c>
      <c r="AE93" t="str">
        <f>PROPER(TRIM(AB93))</f>
        <v>Completed</v>
      </c>
      <c r="AS93" t="str">
        <f t="shared" si="3"/>
        <v/>
      </c>
    </row>
    <row r="94" spans="1:45">
      <c r="A94" t="s">
        <v>386</v>
      </c>
      <c r="B94" s="7">
        <v>45680</v>
      </c>
      <c r="C94" s="4">
        <v>45683</v>
      </c>
      <c r="D94">
        <f>C94-B94</f>
        <v>3</v>
      </c>
      <c r="E94" t="str">
        <f>TEXT(B94,"mmmm")</f>
        <v>January</v>
      </c>
      <c r="F94">
        <f>YEAR(B94)</f>
        <v>2025</v>
      </c>
      <c r="G94" t="s">
        <v>387</v>
      </c>
      <c r="H94" t="s">
        <v>128</v>
      </c>
      <c r="I94" t="s">
        <v>24</v>
      </c>
      <c r="J94" t="s">
        <v>63</v>
      </c>
      <c r="K94" t="s">
        <v>72</v>
      </c>
      <c r="L94" t="s">
        <v>73</v>
      </c>
      <c r="M94" t="s">
        <v>28</v>
      </c>
      <c r="N94" t="s">
        <v>29</v>
      </c>
      <c r="O94" t="s">
        <v>388</v>
      </c>
      <c r="P94" t="s">
        <v>59</v>
      </c>
      <c r="Q94">
        <v>9</v>
      </c>
      <c r="R94">
        <v>4458.26</v>
      </c>
      <c r="S94">
        <v>0.1</v>
      </c>
      <c r="T94" s="12">
        <f>S94</f>
        <v>0.1</v>
      </c>
      <c r="U94">
        <v>36111.910000000003</v>
      </c>
      <c r="V94">
        <f>Q94*R94*(1-S94)</f>
        <v>36111.906000000003</v>
      </c>
      <c r="W94">
        <v>29194.5</v>
      </c>
      <c r="X94">
        <v>6917.41</v>
      </c>
      <c r="Y94">
        <f>V94-W94</f>
        <v>6917.4060000000027</v>
      </c>
      <c r="Z94" s="12">
        <f>Y94/V94</f>
        <v>0.19155471882320479</v>
      </c>
      <c r="AA94" t="s">
        <v>32</v>
      </c>
      <c r="AB94" t="s">
        <v>33</v>
      </c>
      <c r="AC94" s="14" t="s">
        <v>2794</v>
      </c>
      <c r="AD94" t="s">
        <v>2782</v>
      </c>
      <c r="AE94" t="str">
        <f>PROPER(TRIM(AB94))</f>
        <v>Completed</v>
      </c>
      <c r="AS94" t="str">
        <f t="shared" si="3"/>
        <v/>
      </c>
    </row>
    <row r="95" spans="1:45">
      <c r="A95" t="s">
        <v>389</v>
      </c>
      <c r="B95" s="7">
        <v>45474</v>
      </c>
      <c r="C95" s="4">
        <v>45304</v>
      </c>
      <c r="D95" s="10">
        <f>C95-B95</f>
        <v>-170</v>
      </c>
      <c r="E95" t="str">
        <f>TEXT(B95,"mmmm")</f>
        <v>July</v>
      </c>
      <c r="F95">
        <f>YEAR(B95)</f>
        <v>2024</v>
      </c>
      <c r="G95" t="s">
        <v>390</v>
      </c>
      <c r="H95" t="s">
        <v>141</v>
      </c>
      <c r="I95" t="s">
        <v>90</v>
      </c>
      <c r="J95" t="s">
        <v>25</v>
      </c>
      <c r="K95" t="s">
        <v>136</v>
      </c>
      <c r="L95" t="s">
        <v>137</v>
      </c>
      <c r="M95" t="s">
        <v>28</v>
      </c>
      <c r="N95" t="s">
        <v>153</v>
      </c>
      <c r="O95" t="s">
        <v>391</v>
      </c>
      <c r="P95" t="s">
        <v>59</v>
      </c>
      <c r="Q95">
        <v>7</v>
      </c>
      <c r="R95">
        <v>2788.97</v>
      </c>
      <c r="S95">
        <v>-0.09</v>
      </c>
      <c r="T95" s="13">
        <f>S95</f>
        <v>-0.09</v>
      </c>
      <c r="U95">
        <v>19522.79</v>
      </c>
      <c r="V95">
        <f>Q95*R95*(1-S95)</f>
        <v>21279.841099999998</v>
      </c>
      <c r="W95">
        <v>12455.78</v>
      </c>
      <c r="X95">
        <v>7067.01</v>
      </c>
      <c r="Y95">
        <f>V95-W95</f>
        <v>8824.0610999999972</v>
      </c>
      <c r="Z95" s="12">
        <f>Y95/V95</f>
        <v>0.41466762174272054</v>
      </c>
      <c r="AA95" t="s">
        <v>32</v>
      </c>
      <c r="AB95" t="s">
        <v>33</v>
      </c>
      <c r="AC95" s="10" t="s">
        <v>2792</v>
      </c>
      <c r="AD95" t="s">
        <v>2782</v>
      </c>
      <c r="AE95" t="str">
        <f>PROPER(TRIM(AB95))</f>
        <v>Completed</v>
      </c>
      <c r="AS95" t="str">
        <f t="shared" si="3"/>
        <v/>
      </c>
    </row>
    <row r="96" spans="1:45">
      <c r="A96" t="s">
        <v>392</v>
      </c>
      <c r="B96" s="7">
        <v>45452</v>
      </c>
      <c r="C96" s="4">
        <v>45544</v>
      </c>
      <c r="D96">
        <f>C96-B96</f>
        <v>92</v>
      </c>
      <c r="E96" t="str">
        <f>TEXT(B96,"mmmm")</f>
        <v>June</v>
      </c>
      <c r="F96">
        <f>YEAR(B96)</f>
        <v>2024</v>
      </c>
      <c r="G96" t="s">
        <v>393</v>
      </c>
      <c r="H96" t="s">
        <v>162</v>
      </c>
      <c r="I96" t="s">
        <v>24</v>
      </c>
      <c r="J96" t="s">
        <v>25</v>
      </c>
      <c r="K96" t="s">
        <v>236</v>
      </c>
      <c r="L96" t="s">
        <v>237</v>
      </c>
      <c r="M96" t="s">
        <v>74</v>
      </c>
      <c r="N96" t="s">
        <v>171</v>
      </c>
      <c r="O96" t="s">
        <v>394</v>
      </c>
      <c r="P96" t="s">
        <v>31</v>
      </c>
      <c r="Q96">
        <v>7</v>
      </c>
      <c r="R96">
        <v>3781.53</v>
      </c>
      <c r="S96">
        <v>0</v>
      </c>
      <c r="T96" s="12">
        <f>S96</f>
        <v>0</v>
      </c>
      <c r="U96">
        <v>26470.71</v>
      </c>
      <c r="V96">
        <f>Q96*R96*(1-S96)</f>
        <v>26470.710000000003</v>
      </c>
      <c r="W96">
        <v>21367.599999999999</v>
      </c>
      <c r="X96">
        <v>5103.1099999999997</v>
      </c>
      <c r="Y96">
        <f>V96-W96</f>
        <v>5103.1100000000042</v>
      </c>
      <c r="Z96" s="12">
        <f>Y96/V96</f>
        <v>0.19278326875251944</v>
      </c>
      <c r="AA96" t="s">
        <v>111</v>
      </c>
      <c r="AB96" t="s">
        <v>68</v>
      </c>
      <c r="AC96" s="14" t="s">
        <v>2794</v>
      </c>
      <c r="AD96" t="s">
        <v>2782</v>
      </c>
      <c r="AE96" t="str">
        <f>PROPER(TRIM(AB96))</f>
        <v>Cancelled</v>
      </c>
      <c r="AS96" t="str">
        <f t="shared" si="3"/>
        <v/>
      </c>
    </row>
    <row r="97" spans="1:45">
      <c r="A97" t="s">
        <v>395</v>
      </c>
      <c r="B97" s="7">
        <v>45905</v>
      </c>
      <c r="C97" s="4">
        <v>45939</v>
      </c>
      <c r="D97">
        <f>C97-B97</f>
        <v>34</v>
      </c>
      <c r="E97" t="str">
        <f>TEXT(B97,"mmmm")</f>
        <v>September</v>
      </c>
      <c r="F97">
        <f>YEAR(B97)</f>
        <v>2025</v>
      </c>
      <c r="G97" t="s">
        <v>396</v>
      </c>
      <c r="H97" t="s">
        <v>132</v>
      </c>
      <c r="I97" t="s">
        <v>90</v>
      </c>
      <c r="J97" t="s">
        <v>63</v>
      </c>
      <c r="K97" t="s">
        <v>190</v>
      </c>
      <c r="L97" t="s">
        <v>191</v>
      </c>
      <c r="M97" t="s">
        <v>41</v>
      </c>
      <c r="N97" t="s">
        <v>158</v>
      </c>
      <c r="O97" t="s">
        <v>397</v>
      </c>
      <c r="P97" t="s">
        <v>44</v>
      </c>
      <c r="Q97">
        <v>6</v>
      </c>
      <c r="R97">
        <v>1754.13</v>
      </c>
      <c r="S97">
        <v>0</v>
      </c>
      <c r="T97" s="12">
        <f>S97</f>
        <v>0</v>
      </c>
      <c r="U97">
        <v>10524.78</v>
      </c>
      <c r="V97">
        <f>Q97*R97*(1-S97)</f>
        <v>10524.78</v>
      </c>
      <c r="W97">
        <v>8841.0499999999993</v>
      </c>
      <c r="X97">
        <v>1683.73</v>
      </c>
      <c r="Y97">
        <f>V97-W97</f>
        <v>1683.7300000000014</v>
      </c>
      <c r="Z97" s="12">
        <f>Y97/V97</f>
        <v>0.15997769074507984</v>
      </c>
      <c r="AA97" t="s">
        <v>32</v>
      </c>
      <c r="AB97" t="s">
        <v>33</v>
      </c>
      <c r="AC97" s="14" t="s">
        <v>2794</v>
      </c>
      <c r="AD97" t="s">
        <v>2782</v>
      </c>
      <c r="AE97" t="str">
        <f>PROPER(TRIM(AB97))</f>
        <v>Completed</v>
      </c>
      <c r="AS97" t="str">
        <f t="shared" si="3"/>
        <v/>
      </c>
    </row>
    <row r="98" spans="1:45">
      <c r="A98" t="s">
        <v>398</v>
      </c>
      <c r="B98" s="7">
        <v>45448</v>
      </c>
      <c r="C98" s="4">
        <v>45450</v>
      </c>
      <c r="D98">
        <f>C98-B98</f>
        <v>2</v>
      </c>
      <c r="E98" t="str">
        <f>TEXT(B98,"mmmm")</f>
        <v>June</v>
      </c>
      <c r="F98">
        <f>YEAR(B98)</f>
        <v>2024</v>
      </c>
      <c r="G98" t="s">
        <v>399</v>
      </c>
      <c r="H98" t="s">
        <v>118</v>
      </c>
      <c r="I98" t="s">
        <v>95</v>
      </c>
      <c r="J98" t="s">
        <v>38</v>
      </c>
      <c r="K98" t="s">
        <v>39</v>
      </c>
      <c r="L98" t="s">
        <v>40</v>
      </c>
      <c r="M98" t="s">
        <v>74</v>
      </c>
      <c r="N98" t="s">
        <v>80</v>
      </c>
      <c r="O98" t="s">
        <v>400</v>
      </c>
      <c r="P98" t="s">
        <v>31</v>
      </c>
      <c r="Q98">
        <v>2</v>
      </c>
      <c r="R98">
        <v>2259.2399999999998</v>
      </c>
      <c r="S98">
        <v>0.15</v>
      </c>
      <c r="T98" s="12">
        <f>S98</f>
        <v>0.15</v>
      </c>
      <c r="U98">
        <v>3840.71</v>
      </c>
      <c r="V98">
        <f>Q98*R98*(1-S98)</f>
        <v>3840.7079999999996</v>
      </c>
      <c r="W98">
        <v>2516.29</v>
      </c>
      <c r="X98">
        <v>1324.42</v>
      </c>
      <c r="Y98">
        <f>V98-W98</f>
        <v>1324.4179999999997</v>
      </c>
      <c r="Z98" s="12">
        <f>Y98/V98</f>
        <v>0.34483694152224009</v>
      </c>
      <c r="AA98" t="s">
        <v>32</v>
      </c>
      <c r="AB98" t="s">
        <v>33</v>
      </c>
      <c r="AC98" s="14" t="s">
        <v>2794</v>
      </c>
      <c r="AD98" t="s">
        <v>2782</v>
      </c>
      <c r="AE98" t="str">
        <f>PROPER(TRIM(AB98))</f>
        <v>Completed</v>
      </c>
      <c r="AS98" t="str">
        <f t="shared" si="3"/>
        <v/>
      </c>
    </row>
    <row r="99" spans="1:45">
      <c r="A99" t="s">
        <v>401</v>
      </c>
      <c r="B99" s="7">
        <v>45877</v>
      </c>
      <c r="C99" s="4">
        <v>45880</v>
      </c>
      <c r="D99">
        <f>C99-B99</f>
        <v>3</v>
      </c>
      <c r="E99" t="str">
        <f>TEXT(B99,"mmmm")</f>
        <v>August</v>
      </c>
      <c r="F99">
        <f>YEAR(B99)</f>
        <v>2025</v>
      </c>
      <c r="G99" t="s">
        <v>402</v>
      </c>
      <c r="H99" t="s">
        <v>162</v>
      </c>
      <c r="I99" t="s">
        <v>37</v>
      </c>
      <c r="J99" t="s">
        <v>63</v>
      </c>
      <c r="K99" t="s">
        <v>180</v>
      </c>
      <c r="L99" t="s">
        <v>181</v>
      </c>
      <c r="M99" t="s">
        <v>28</v>
      </c>
      <c r="N99" t="s">
        <v>124</v>
      </c>
      <c r="O99" t="s">
        <v>403</v>
      </c>
      <c r="P99" t="s">
        <v>44</v>
      </c>
      <c r="Q99">
        <v>5</v>
      </c>
      <c r="R99">
        <v>3602.36</v>
      </c>
      <c r="S99">
        <v>0.2</v>
      </c>
      <c r="T99" s="12">
        <f>S99</f>
        <v>0.2</v>
      </c>
      <c r="U99">
        <v>14409.44</v>
      </c>
      <c r="V99">
        <f>Q99*R99*(1-S99)</f>
        <v>14409.44</v>
      </c>
      <c r="W99">
        <v>8809.9699999999993</v>
      </c>
      <c r="X99">
        <v>5599.47</v>
      </c>
      <c r="Y99">
        <f>V99-W99</f>
        <v>5599.4700000000012</v>
      </c>
      <c r="Z99" s="12">
        <f>Y99/V99</f>
        <v>0.38859733619071951</v>
      </c>
      <c r="AA99" t="s">
        <v>111</v>
      </c>
      <c r="AB99" t="s">
        <v>103</v>
      </c>
      <c r="AC99" s="14" t="s">
        <v>2794</v>
      </c>
      <c r="AD99" t="s">
        <v>2782</v>
      </c>
      <c r="AE99" t="str">
        <f>PROPER(TRIM(AB99))</f>
        <v>Returned</v>
      </c>
      <c r="AS99" t="str">
        <f t="shared" si="3"/>
        <v/>
      </c>
    </row>
    <row r="100" spans="1:45">
      <c r="A100" t="s">
        <v>404</v>
      </c>
      <c r="B100" s="7">
        <v>45317</v>
      </c>
      <c r="C100" s="4">
        <v>45293</v>
      </c>
      <c r="D100" s="10">
        <f>C100-B100</f>
        <v>-24</v>
      </c>
      <c r="E100" t="str">
        <f>TEXT(B100,"mmmm")</f>
        <v>January</v>
      </c>
      <c r="F100">
        <f>YEAR(B100)</f>
        <v>2024</v>
      </c>
      <c r="G100" t="s">
        <v>405</v>
      </c>
      <c r="H100" t="s">
        <v>141</v>
      </c>
      <c r="I100" t="s">
        <v>95</v>
      </c>
      <c r="J100" t="s">
        <v>54</v>
      </c>
      <c r="K100" t="s">
        <v>185</v>
      </c>
      <c r="L100" t="s">
        <v>186</v>
      </c>
      <c r="M100" t="s">
        <v>74</v>
      </c>
      <c r="N100" t="s">
        <v>80</v>
      </c>
      <c r="O100" t="s">
        <v>406</v>
      </c>
      <c r="P100" t="s">
        <v>2783</v>
      </c>
      <c r="Q100">
        <v>8</v>
      </c>
      <c r="R100">
        <v>2108.9299999999998</v>
      </c>
      <c r="S100">
        <v>0.1</v>
      </c>
      <c r="T100" s="12">
        <f>S100</f>
        <v>0.1</v>
      </c>
      <c r="U100">
        <v>15184.3</v>
      </c>
      <c r="V100">
        <f>Q100*R100*(1-S100)</f>
        <v>15184.295999999998</v>
      </c>
      <c r="W100">
        <v>11270.74</v>
      </c>
      <c r="X100">
        <v>3913.56</v>
      </c>
      <c r="Y100">
        <f>V100-W100</f>
        <v>3913.5559999999987</v>
      </c>
      <c r="Z100" s="12">
        <f>Y100/V100</f>
        <v>0.25773707256497103</v>
      </c>
      <c r="AA100" t="s">
        <v>32</v>
      </c>
      <c r="AB100" t="s">
        <v>33</v>
      </c>
      <c r="AC100" s="10" t="s">
        <v>2795</v>
      </c>
      <c r="AD100" t="s">
        <v>2782</v>
      </c>
      <c r="AE100" t="str">
        <f>PROPER(TRIM(AB100))</f>
        <v>Completed</v>
      </c>
      <c r="AS100" t="str">
        <f t="shared" si="3"/>
        <v/>
      </c>
    </row>
    <row r="101" spans="1:45">
      <c r="A101" t="s">
        <v>407</v>
      </c>
      <c r="B101" s="7">
        <v>45668</v>
      </c>
      <c r="C101" s="4">
        <v>45668</v>
      </c>
      <c r="D101">
        <f>C101-B101</f>
        <v>0</v>
      </c>
      <c r="E101" t="str">
        <f>TEXT(B101,"mmmm")</f>
        <v>January</v>
      </c>
      <c r="F101">
        <f>YEAR(B101)</f>
        <v>2025</v>
      </c>
      <c r="G101" t="s">
        <v>408</v>
      </c>
      <c r="H101" t="s">
        <v>89</v>
      </c>
      <c r="I101" t="s">
        <v>37</v>
      </c>
      <c r="J101" t="s">
        <v>63</v>
      </c>
      <c r="K101" t="s">
        <v>26</v>
      </c>
      <c r="L101" t="s">
        <v>109</v>
      </c>
      <c r="M101" t="s">
        <v>74</v>
      </c>
      <c r="N101" t="s">
        <v>75</v>
      </c>
      <c r="O101" t="s">
        <v>409</v>
      </c>
      <c r="P101" t="s">
        <v>44</v>
      </c>
      <c r="Q101">
        <v>3</v>
      </c>
      <c r="R101">
        <v>2165.29</v>
      </c>
      <c r="S101">
        <v>0</v>
      </c>
      <c r="T101" s="12">
        <f>S101</f>
        <v>0</v>
      </c>
      <c r="U101">
        <v>6495.87</v>
      </c>
      <c r="V101">
        <f>Q101*R101*(1-S101)</f>
        <v>6495.87</v>
      </c>
      <c r="W101">
        <v>4700.8900000000003</v>
      </c>
      <c r="X101">
        <v>1794.98</v>
      </c>
      <c r="Y101">
        <f>V101-W101</f>
        <v>1794.9799999999996</v>
      </c>
      <c r="Z101" s="12">
        <f>Y101/V101</f>
        <v>0.27632634273777024</v>
      </c>
      <c r="AA101" t="s">
        <v>32</v>
      </c>
      <c r="AB101" t="s">
        <v>33</v>
      </c>
      <c r="AC101" s="14" t="s">
        <v>2794</v>
      </c>
      <c r="AD101" t="s">
        <v>2782</v>
      </c>
      <c r="AE101" t="str">
        <f>PROPER(TRIM(AB101))</f>
        <v>Completed</v>
      </c>
      <c r="AS101" t="str">
        <f t="shared" si="3"/>
        <v/>
      </c>
    </row>
    <row r="102" spans="1:45">
      <c r="A102" t="s">
        <v>410</v>
      </c>
      <c r="B102" s="7">
        <v>45912</v>
      </c>
      <c r="C102" s="4">
        <v>45918</v>
      </c>
      <c r="D102">
        <f>C102-B102</f>
        <v>6</v>
      </c>
      <c r="E102" t="str">
        <f>TEXT(B102,"mmmm")</f>
        <v>September</v>
      </c>
      <c r="F102">
        <f>YEAR(B102)</f>
        <v>2025</v>
      </c>
      <c r="G102" t="s">
        <v>411</v>
      </c>
      <c r="H102" t="s">
        <v>128</v>
      </c>
      <c r="I102" t="s">
        <v>95</v>
      </c>
      <c r="J102" t="s">
        <v>54</v>
      </c>
      <c r="K102" t="s">
        <v>185</v>
      </c>
      <c r="L102" t="s">
        <v>186</v>
      </c>
      <c r="M102" t="s">
        <v>28</v>
      </c>
      <c r="N102" t="s">
        <v>124</v>
      </c>
      <c r="O102" t="s">
        <v>412</v>
      </c>
      <c r="P102" t="s">
        <v>59</v>
      </c>
      <c r="Q102">
        <v>6</v>
      </c>
      <c r="R102">
        <v>1673.8</v>
      </c>
      <c r="S102">
        <v>0.05</v>
      </c>
      <c r="T102" s="12">
        <f>S102</f>
        <v>0.05</v>
      </c>
      <c r="U102">
        <v>9540.66</v>
      </c>
      <c r="V102">
        <f>Q102*R102*(1-S102)</f>
        <v>9540.659999999998</v>
      </c>
      <c r="W102">
        <v>5561.49</v>
      </c>
      <c r="X102">
        <v>3979.17</v>
      </c>
      <c r="Y102">
        <f>V102-W102</f>
        <v>3979.1699999999983</v>
      </c>
      <c r="Z102" s="12">
        <f>Y102/V102</f>
        <v>0.41707491934520241</v>
      </c>
      <c r="AA102" t="s">
        <v>32</v>
      </c>
      <c r="AB102" t="s">
        <v>33</v>
      </c>
      <c r="AC102" s="14" t="s">
        <v>2794</v>
      </c>
      <c r="AD102" t="s">
        <v>2782</v>
      </c>
      <c r="AE102" t="str">
        <f>PROPER(TRIM(AB102))</f>
        <v>Completed</v>
      </c>
      <c r="AS102" t="str">
        <f t="shared" si="3"/>
        <v/>
      </c>
    </row>
    <row r="103" spans="1:45">
      <c r="A103" t="s">
        <v>413</v>
      </c>
      <c r="B103" s="7">
        <v>45465</v>
      </c>
      <c r="C103" s="4">
        <v>45469</v>
      </c>
      <c r="D103">
        <f>C103-B103</f>
        <v>4</v>
      </c>
      <c r="E103" t="str">
        <f>TEXT(B103,"mmmm")</f>
        <v>June</v>
      </c>
      <c r="F103">
        <f>YEAR(B103)</f>
        <v>2024</v>
      </c>
      <c r="G103" t="s">
        <v>414</v>
      </c>
      <c r="H103" t="s">
        <v>141</v>
      </c>
      <c r="I103" t="s">
        <v>95</v>
      </c>
      <c r="J103" t="s">
        <v>38</v>
      </c>
      <c r="K103" t="s">
        <v>145</v>
      </c>
      <c r="L103" t="s">
        <v>146</v>
      </c>
      <c r="M103" t="s">
        <v>41</v>
      </c>
      <c r="N103" t="s">
        <v>57</v>
      </c>
      <c r="O103" t="s">
        <v>415</v>
      </c>
      <c r="P103" t="s">
        <v>50</v>
      </c>
      <c r="Q103">
        <v>5</v>
      </c>
      <c r="R103">
        <v>4396.5200000000004</v>
      </c>
      <c r="S103">
        <v>0.25</v>
      </c>
      <c r="T103" s="12">
        <f>S103</f>
        <v>0.25</v>
      </c>
      <c r="U103">
        <v>16486.95</v>
      </c>
      <c r="V103">
        <f>Q103*R103*(1-S103)</f>
        <v>16486.95</v>
      </c>
      <c r="W103">
        <v>12054.14</v>
      </c>
      <c r="X103">
        <v>4432.8100000000004</v>
      </c>
      <c r="Y103">
        <f>V103-W103</f>
        <v>4432.8100000000013</v>
      </c>
      <c r="Z103" s="12">
        <f>Y103/V103</f>
        <v>0.26886780150361356</v>
      </c>
      <c r="AA103" t="s">
        <v>32</v>
      </c>
      <c r="AB103" t="s">
        <v>33</v>
      </c>
      <c r="AC103" s="14" t="s">
        <v>2794</v>
      </c>
      <c r="AD103" t="s">
        <v>2782</v>
      </c>
      <c r="AE103" t="str">
        <f>PROPER(TRIM(AB103))</f>
        <v>Completed</v>
      </c>
      <c r="AS103" t="str">
        <f t="shared" si="3"/>
        <v/>
      </c>
    </row>
    <row r="104" spans="1:45">
      <c r="A104" t="s">
        <v>416</v>
      </c>
      <c r="B104" s="7">
        <v>45850</v>
      </c>
      <c r="C104" s="4">
        <v>45854</v>
      </c>
      <c r="D104">
        <f>C104-B104</f>
        <v>4</v>
      </c>
      <c r="E104" t="str">
        <f>TEXT(B104,"mmmm")</f>
        <v>July</v>
      </c>
      <c r="F104">
        <f>YEAR(B104)</f>
        <v>2025</v>
      </c>
      <c r="G104" t="s">
        <v>417</v>
      </c>
      <c r="H104" t="s">
        <v>71</v>
      </c>
      <c r="I104" t="s">
        <v>24</v>
      </c>
      <c r="J104" t="s">
        <v>54</v>
      </c>
      <c r="K104" t="s">
        <v>175</v>
      </c>
      <c r="L104" t="s">
        <v>176</v>
      </c>
      <c r="M104" t="s">
        <v>41</v>
      </c>
      <c r="N104" t="s">
        <v>66</v>
      </c>
      <c r="O104" t="s">
        <v>418</v>
      </c>
      <c r="P104" t="s">
        <v>50</v>
      </c>
      <c r="Q104">
        <v>4</v>
      </c>
      <c r="R104">
        <v>2865.71</v>
      </c>
      <c r="S104">
        <v>0</v>
      </c>
      <c r="T104" s="12">
        <f>S104</f>
        <v>0</v>
      </c>
      <c r="U104">
        <v>11462.84</v>
      </c>
      <c r="V104">
        <f>Q104*R104*(1-S104)</f>
        <v>11462.84</v>
      </c>
      <c r="W104">
        <v>8979.7800000000007</v>
      </c>
      <c r="X104">
        <v>2483.06</v>
      </c>
      <c r="Y104">
        <f>V104-W104</f>
        <v>2483.0599999999995</v>
      </c>
      <c r="Z104" s="12">
        <f>Y104/V104</f>
        <v>0.21661822026653077</v>
      </c>
      <c r="AA104" t="s">
        <v>102</v>
      </c>
      <c r="AB104" t="s">
        <v>68</v>
      </c>
      <c r="AC104" s="14" t="s">
        <v>2794</v>
      </c>
      <c r="AD104" t="s">
        <v>2782</v>
      </c>
      <c r="AE104" t="str">
        <f>PROPER(TRIM(AB104))</f>
        <v>Cancelled</v>
      </c>
      <c r="AS104" t="str">
        <f t="shared" si="3"/>
        <v/>
      </c>
    </row>
    <row r="105" spans="1:45">
      <c r="A105" t="s">
        <v>419</v>
      </c>
      <c r="B105" s="7">
        <v>45693</v>
      </c>
      <c r="C105" s="4">
        <v>45935</v>
      </c>
      <c r="D105">
        <f>C105-B105</f>
        <v>242</v>
      </c>
      <c r="E105" t="str">
        <f>TEXT(B105,"mmmm")</f>
        <v>February</v>
      </c>
      <c r="F105">
        <f>YEAR(B105)</f>
        <v>2025</v>
      </c>
      <c r="G105" t="s">
        <v>420</v>
      </c>
      <c r="H105" t="s">
        <v>264</v>
      </c>
      <c r="I105" t="s">
        <v>90</v>
      </c>
      <c r="J105" t="s">
        <v>63</v>
      </c>
      <c r="K105" t="s">
        <v>64</v>
      </c>
      <c r="L105" t="s">
        <v>65</v>
      </c>
      <c r="M105" t="s">
        <v>41</v>
      </c>
      <c r="N105" t="s">
        <v>42</v>
      </c>
      <c r="O105" t="s">
        <v>421</v>
      </c>
      <c r="P105" t="s">
        <v>50</v>
      </c>
      <c r="Q105">
        <v>4</v>
      </c>
      <c r="R105">
        <v>2440.34</v>
      </c>
      <c r="S105">
        <v>0.2</v>
      </c>
      <c r="T105" s="12">
        <f>S105</f>
        <v>0.2</v>
      </c>
      <c r="U105">
        <v>7809.09</v>
      </c>
      <c r="V105">
        <f>Q105*R105*(1-S105)</f>
        <v>7809.0880000000006</v>
      </c>
      <c r="W105">
        <v>6657.75</v>
      </c>
      <c r="X105">
        <v>1151.3399999999999</v>
      </c>
      <c r="Y105">
        <f>V105-W105</f>
        <v>1151.3380000000006</v>
      </c>
      <c r="Z105" s="12">
        <f>Y105/V105</f>
        <v>0.14743565445798543</v>
      </c>
      <c r="AA105" t="s">
        <v>32</v>
      </c>
      <c r="AB105" t="s">
        <v>33</v>
      </c>
      <c r="AC105" s="14" t="s">
        <v>2794</v>
      </c>
      <c r="AD105" t="s">
        <v>2782</v>
      </c>
      <c r="AE105" t="str">
        <f>PROPER(TRIM(AB105))</f>
        <v>Completed</v>
      </c>
      <c r="AS105" t="str">
        <f t="shared" si="3"/>
        <v/>
      </c>
    </row>
    <row r="106" spans="1:45">
      <c r="A106" t="s">
        <v>422</v>
      </c>
      <c r="B106" s="7">
        <v>45689</v>
      </c>
      <c r="C106" s="4">
        <v>45871</v>
      </c>
      <c r="D106">
        <f>C106-B106</f>
        <v>182</v>
      </c>
      <c r="E106" t="str">
        <f>TEXT(B106,"mmmm")</f>
        <v>February</v>
      </c>
      <c r="F106">
        <f>YEAR(B106)</f>
        <v>2025</v>
      </c>
      <c r="G106" t="s">
        <v>423</v>
      </c>
      <c r="H106" t="s">
        <v>62</v>
      </c>
      <c r="I106" t="s">
        <v>24</v>
      </c>
      <c r="J106" t="s">
        <v>54</v>
      </c>
      <c r="K106" t="s">
        <v>175</v>
      </c>
      <c r="L106" t="s">
        <v>176</v>
      </c>
      <c r="M106" t="s">
        <v>28</v>
      </c>
      <c r="N106" t="s">
        <v>91</v>
      </c>
      <c r="O106" t="s">
        <v>424</v>
      </c>
      <c r="P106" t="s">
        <v>44</v>
      </c>
      <c r="Q106">
        <v>5</v>
      </c>
      <c r="R106">
        <v>2112.54</v>
      </c>
      <c r="S106">
        <v>0.25</v>
      </c>
      <c r="T106" s="12">
        <f>S106</f>
        <v>0.25</v>
      </c>
      <c r="U106">
        <v>8260.4599999999991</v>
      </c>
      <c r="V106">
        <f>Q106*R106*(1-S106)</f>
        <v>7922.0250000000005</v>
      </c>
      <c r="W106">
        <v>5619.95</v>
      </c>
      <c r="X106">
        <v>2302.08</v>
      </c>
      <c r="Y106">
        <f>V106-W106</f>
        <v>2302.0750000000007</v>
      </c>
      <c r="Z106" s="12">
        <f>Y106/V106</f>
        <v>0.29059173633004193</v>
      </c>
      <c r="AA106" t="s">
        <v>32</v>
      </c>
      <c r="AB106" t="s">
        <v>68</v>
      </c>
      <c r="AC106" s="14" t="s">
        <v>2794</v>
      </c>
      <c r="AD106" t="s">
        <v>2782</v>
      </c>
      <c r="AE106" t="str">
        <f>PROPER(TRIM(AB106))</f>
        <v>Cancelled</v>
      </c>
      <c r="AS106" t="str">
        <f t="shared" si="3"/>
        <v/>
      </c>
    </row>
    <row r="107" spans="1:45">
      <c r="A107" t="s">
        <v>425</v>
      </c>
      <c r="B107" s="7">
        <v>45467</v>
      </c>
      <c r="C107" s="4">
        <v>45472</v>
      </c>
      <c r="D107">
        <f>C107-B107</f>
        <v>5</v>
      </c>
      <c r="E107" t="str">
        <f>TEXT(B107,"mmmm")</f>
        <v>June</v>
      </c>
      <c r="F107">
        <f>YEAR(B107)</f>
        <v>2024</v>
      </c>
      <c r="G107" t="s">
        <v>426</v>
      </c>
      <c r="H107" t="s">
        <v>36</v>
      </c>
      <c r="I107" t="s">
        <v>95</v>
      </c>
      <c r="J107" t="s">
        <v>38</v>
      </c>
      <c r="K107" t="s">
        <v>99</v>
      </c>
      <c r="L107" t="s">
        <v>100</v>
      </c>
      <c r="M107" t="s">
        <v>41</v>
      </c>
      <c r="N107" t="s">
        <v>42</v>
      </c>
      <c r="O107" t="s">
        <v>427</v>
      </c>
      <c r="P107" t="s">
        <v>31</v>
      </c>
      <c r="Q107">
        <v>2</v>
      </c>
      <c r="R107">
        <v>685</v>
      </c>
      <c r="S107">
        <v>0.1</v>
      </c>
      <c r="T107" s="12">
        <f>S107</f>
        <v>0.1</v>
      </c>
      <c r="U107">
        <v>1233</v>
      </c>
      <c r="V107">
        <f>Q107*R107*(1-S107)</f>
        <v>1233</v>
      </c>
      <c r="W107">
        <v>1006.9</v>
      </c>
      <c r="X107">
        <v>226.1</v>
      </c>
      <c r="Y107">
        <f>V107-W107</f>
        <v>226.10000000000002</v>
      </c>
      <c r="Z107" s="12">
        <f>Y107/V107</f>
        <v>0.18337388483373887</v>
      </c>
      <c r="AA107" t="s">
        <v>32</v>
      </c>
      <c r="AB107" t="s">
        <v>33</v>
      </c>
      <c r="AC107" s="14" t="s">
        <v>2794</v>
      </c>
      <c r="AD107" t="s">
        <v>2782</v>
      </c>
      <c r="AE107" t="str">
        <f>PROPER(TRIM(AB107))</f>
        <v>Completed</v>
      </c>
      <c r="AS107" t="str">
        <f t="shared" si="3"/>
        <v/>
      </c>
    </row>
    <row r="108" spans="1:45">
      <c r="A108" t="s">
        <v>428</v>
      </c>
      <c r="B108" s="7">
        <v>45342</v>
      </c>
      <c r="C108" s="4">
        <v>45350</v>
      </c>
      <c r="D108">
        <f>C108-B108</f>
        <v>8</v>
      </c>
      <c r="E108" t="str">
        <f>TEXT(B108,"mmmm")</f>
        <v>February</v>
      </c>
      <c r="F108">
        <f>YEAR(B108)</f>
        <v>2024</v>
      </c>
      <c r="G108" t="s">
        <v>429</v>
      </c>
      <c r="H108" t="s">
        <v>53</v>
      </c>
      <c r="I108" t="s">
        <v>95</v>
      </c>
      <c r="J108" t="s">
        <v>38</v>
      </c>
      <c r="K108" t="s">
        <v>99</v>
      </c>
      <c r="L108" t="s">
        <v>100</v>
      </c>
      <c r="M108" t="s">
        <v>28</v>
      </c>
      <c r="N108" t="s">
        <v>29</v>
      </c>
      <c r="O108" t="s">
        <v>430</v>
      </c>
      <c r="P108" t="s">
        <v>59</v>
      </c>
      <c r="Q108">
        <v>2</v>
      </c>
      <c r="R108">
        <v>4004.04</v>
      </c>
      <c r="S108">
        <v>0</v>
      </c>
      <c r="T108" s="12">
        <f>S108</f>
        <v>0</v>
      </c>
      <c r="U108">
        <v>7207.27</v>
      </c>
      <c r="V108">
        <f>Q108*R108*(1-S108)</f>
        <v>8008.08</v>
      </c>
      <c r="W108">
        <v>5709.39</v>
      </c>
      <c r="X108">
        <v>1497.88</v>
      </c>
      <c r="Y108">
        <f>V108-W108</f>
        <v>2298.6899999999996</v>
      </c>
      <c r="Z108" s="12">
        <f>Y108/V108</f>
        <v>0.28704633320346445</v>
      </c>
      <c r="AA108" t="s">
        <v>32</v>
      </c>
      <c r="AB108" t="s">
        <v>68</v>
      </c>
      <c r="AC108" s="14" t="s">
        <v>2794</v>
      </c>
      <c r="AD108" t="s">
        <v>2782</v>
      </c>
      <c r="AE108" t="str">
        <f>PROPER(TRIM(AB108))</f>
        <v>Cancelled</v>
      </c>
      <c r="AS108" t="str">
        <f t="shared" si="3"/>
        <v/>
      </c>
    </row>
    <row r="109" spans="1:45">
      <c r="A109" t="s">
        <v>431</v>
      </c>
      <c r="B109" s="7">
        <v>45594</v>
      </c>
      <c r="C109" s="4">
        <v>45600</v>
      </c>
      <c r="D109">
        <f>C109-B109</f>
        <v>6</v>
      </c>
      <c r="E109" t="str">
        <f>TEXT(B109,"mmmm")</f>
        <v>October</v>
      </c>
      <c r="F109">
        <f>YEAR(B109)</f>
        <v>2024</v>
      </c>
      <c r="G109" t="s">
        <v>432</v>
      </c>
      <c r="H109" t="s">
        <v>141</v>
      </c>
      <c r="I109" t="s">
        <v>95</v>
      </c>
      <c r="J109" t="s">
        <v>38</v>
      </c>
      <c r="K109" t="s">
        <v>99</v>
      </c>
      <c r="L109" t="s">
        <v>100</v>
      </c>
      <c r="M109" t="s">
        <v>41</v>
      </c>
      <c r="N109" t="s">
        <v>57</v>
      </c>
      <c r="O109" t="s">
        <v>433</v>
      </c>
      <c r="P109" t="s">
        <v>50</v>
      </c>
      <c r="Q109">
        <v>3</v>
      </c>
      <c r="R109">
        <v>4302.8900000000003</v>
      </c>
      <c r="S109">
        <v>0.05</v>
      </c>
      <c r="T109" s="12">
        <f>S109</f>
        <v>0.05</v>
      </c>
      <c r="U109">
        <v>12263.24</v>
      </c>
      <c r="V109">
        <f>Q109*R109*(1-S109)</f>
        <v>12263.236500000001</v>
      </c>
      <c r="W109">
        <v>8925.57</v>
      </c>
      <c r="X109">
        <v>3337.67</v>
      </c>
      <c r="Y109">
        <f>V109-W109</f>
        <v>3337.6665000000012</v>
      </c>
      <c r="Z109" s="12">
        <f>Y109/V109</f>
        <v>0.27216848504878799</v>
      </c>
      <c r="AA109" t="s">
        <v>32</v>
      </c>
      <c r="AB109" t="s">
        <v>33</v>
      </c>
      <c r="AC109" s="14" t="s">
        <v>2794</v>
      </c>
      <c r="AD109" t="s">
        <v>2782</v>
      </c>
      <c r="AE109" t="str">
        <f>PROPER(TRIM(AB109))</f>
        <v>Completed</v>
      </c>
      <c r="AS109" t="str">
        <f t="shared" si="3"/>
        <v/>
      </c>
    </row>
    <row r="110" spans="1:45">
      <c r="A110" t="s">
        <v>434</v>
      </c>
      <c r="B110" s="7">
        <v>45519</v>
      </c>
      <c r="C110" s="4">
        <v>45527</v>
      </c>
      <c r="D110">
        <f>C110-B110</f>
        <v>8</v>
      </c>
      <c r="E110" t="str">
        <f>TEXT(B110,"mmmm")</f>
        <v>August</v>
      </c>
      <c r="F110">
        <f>YEAR(B110)</f>
        <v>2024</v>
      </c>
      <c r="G110" t="s">
        <v>435</v>
      </c>
      <c r="H110" t="s">
        <v>89</v>
      </c>
      <c r="I110" t="s">
        <v>37</v>
      </c>
      <c r="J110" t="s">
        <v>38</v>
      </c>
      <c r="K110" t="s">
        <v>39</v>
      </c>
      <c r="L110" t="s">
        <v>40</v>
      </c>
      <c r="M110" t="s">
        <v>41</v>
      </c>
      <c r="N110" t="s">
        <v>158</v>
      </c>
      <c r="O110" t="s">
        <v>436</v>
      </c>
      <c r="P110" t="s">
        <v>44</v>
      </c>
      <c r="Q110">
        <v>2</v>
      </c>
      <c r="R110">
        <v>537.54</v>
      </c>
      <c r="S110">
        <v>0.25</v>
      </c>
      <c r="T110" s="12">
        <f>S110</f>
        <v>0.25</v>
      </c>
      <c r="U110">
        <v>806.31</v>
      </c>
      <c r="V110">
        <f>Q110*R110*(1-S110)</f>
        <v>806.31</v>
      </c>
      <c r="W110">
        <v>498.5</v>
      </c>
      <c r="X110">
        <v>307.81</v>
      </c>
      <c r="Y110">
        <f>V110-W110</f>
        <v>307.80999999999995</v>
      </c>
      <c r="Z110" s="12">
        <f>Y110/V110</f>
        <v>0.38175143555208291</v>
      </c>
      <c r="AA110" t="s">
        <v>32</v>
      </c>
      <c r="AB110" t="s">
        <v>33</v>
      </c>
      <c r="AC110" s="14" t="s">
        <v>2794</v>
      </c>
      <c r="AD110" t="s">
        <v>2782</v>
      </c>
      <c r="AE110" t="str">
        <f>PROPER(TRIM(AB110))</f>
        <v>Completed</v>
      </c>
      <c r="AS110" t="str">
        <f t="shared" si="3"/>
        <v/>
      </c>
    </row>
    <row r="111" spans="1:45">
      <c r="A111" t="s">
        <v>437</v>
      </c>
      <c r="B111" s="7">
        <v>45892</v>
      </c>
      <c r="C111" s="4">
        <v>45896</v>
      </c>
      <c r="D111">
        <f>C111-B111</f>
        <v>4</v>
      </c>
      <c r="E111" t="str">
        <f>TEXT(B111,"mmmm")</f>
        <v>August</v>
      </c>
      <c r="F111">
        <f>YEAR(B111)</f>
        <v>2025</v>
      </c>
      <c r="G111" t="s">
        <v>438</v>
      </c>
      <c r="H111" t="s">
        <v>132</v>
      </c>
      <c r="I111" t="s">
        <v>24</v>
      </c>
      <c r="J111" t="s">
        <v>25</v>
      </c>
      <c r="K111" t="s">
        <v>350</v>
      </c>
      <c r="L111" t="s">
        <v>351</v>
      </c>
      <c r="M111" t="s">
        <v>28</v>
      </c>
      <c r="N111" t="s">
        <v>153</v>
      </c>
      <c r="O111" t="s">
        <v>439</v>
      </c>
      <c r="P111" t="s">
        <v>31</v>
      </c>
      <c r="Q111">
        <v>1</v>
      </c>
      <c r="R111">
        <v>2788.62</v>
      </c>
      <c r="S111">
        <v>0.25</v>
      </c>
      <c r="T111" s="12">
        <f>S111</f>
        <v>0.25</v>
      </c>
      <c r="U111">
        <v>2091.4699999999998</v>
      </c>
      <c r="V111">
        <f>Q111*R111*(1-S111)</f>
        <v>2091.4650000000001</v>
      </c>
      <c r="W111">
        <v>1317.22</v>
      </c>
      <c r="X111">
        <v>774.25</v>
      </c>
      <c r="Y111">
        <f>V111-W111</f>
        <v>774.24500000000012</v>
      </c>
      <c r="Z111" s="12">
        <f>Y111/V111</f>
        <v>0.37019266399389905</v>
      </c>
      <c r="AA111" t="s">
        <v>32</v>
      </c>
      <c r="AB111" t="s">
        <v>33</v>
      </c>
      <c r="AC111" s="14" t="s">
        <v>2794</v>
      </c>
      <c r="AD111" t="s">
        <v>2782</v>
      </c>
      <c r="AE111" t="str">
        <f>PROPER(TRIM(AB111))</f>
        <v>Completed</v>
      </c>
      <c r="AS111" t="str">
        <f t="shared" si="3"/>
        <v/>
      </c>
    </row>
    <row r="112" spans="1:45">
      <c r="A112" t="s">
        <v>440</v>
      </c>
      <c r="B112" s="7">
        <v>45583</v>
      </c>
      <c r="C112" s="4">
        <v>45589</v>
      </c>
      <c r="D112">
        <f>C112-B112</f>
        <v>6</v>
      </c>
      <c r="E112" t="str">
        <f>TEXT(B112,"mmmm")</f>
        <v>October</v>
      </c>
      <c r="F112">
        <f>YEAR(B112)</f>
        <v>2024</v>
      </c>
      <c r="G112" t="s">
        <v>441</v>
      </c>
      <c r="H112" t="s">
        <v>71</v>
      </c>
      <c r="I112" t="s">
        <v>90</v>
      </c>
      <c r="J112" t="s">
        <v>54</v>
      </c>
      <c r="K112" t="s">
        <v>185</v>
      </c>
      <c r="L112" t="s">
        <v>186</v>
      </c>
      <c r="M112" t="s">
        <v>28</v>
      </c>
      <c r="N112" t="s">
        <v>91</v>
      </c>
      <c r="O112" t="s">
        <v>442</v>
      </c>
      <c r="P112" t="s">
        <v>50</v>
      </c>
      <c r="Q112">
        <v>2</v>
      </c>
      <c r="R112">
        <v>2250.4699999999998</v>
      </c>
      <c r="S112">
        <v>0</v>
      </c>
      <c r="T112" s="12">
        <f>S112</f>
        <v>0</v>
      </c>
      <c r="U112">
        <v>4500.9399999999996</v>
      </c>
      <c r="V112">
        <f>Q112*R112*(1-S112)</f>
        <v>4500.9399999999996</v>
      </c>
      <c r="W112">
        <v>2607.73</v>
      </c>
      <c r="X112">
        <v>1893.21</v>
      </c>
      <c r="Y112">
        <f>V112-W112</f>
        <v>1893.2099999999996</v>
      </c>
      <c r="Z112" s="12">
        <f>Y112/V112</f>
        <v>0.42062546934640316</v>
      </c>
      <c r="AA112" t="s">
        <v>102</v>
      </c>
      <c r="AB112" t="s">
        <v>68</v>
      </c>
      <c r="AC112" s="14" t="s">
        <v>2794</v>
      </c>
      <c r="AD112" t="s">
        <v>2782</v>
      </c>
      <c r="AE112" t="str">
        <f>PROPER(TRIM(AB112))</f>
        <v>Cancelled</v>
      </c>
      <c r="AS112" t="str">
        <f t="shared" si="3"/>
        <v/>
      </c>
    </row>
    <row r="113" spans="1:45">
      <c r="A113" t="s">
        <v>443</v>
      </c>
      <c r="B113" s="7">
        <v>45835</v>
      </c>
      <c r="C113" s="4">
        <v>45838</v>
      </c>
      <c r="D113">
        <f>C113-B113</f>
        <v>3</v>
      </c>
      <c r="E113" t="str">
        <f>TEXT(B113,"mmmm")</f>
        <v>June</v>
      </c>
      <c r="F113">
        <f>YEAR(B113)</f>
        <v>2025</v>
      </c>
      <c r="G113" t="s">
        <v>444</v>
      </c>
      <c r="H113" t="s">
        <v>79</v>
      </c>
      <c r="I113" t="s">
        <v>90</v>
      </c>
      <c r="J113" t="s">
        <v>38</v>
      </c>
      <c r="K113" t="s">
        <v>145</v>
      </c>
      <c r="L113" t="s">
        <v>146</v>
      </c>
      <c r="M113" t="s">
        <v>74</v>
      </c>
      <c r="N113" t="s">
        <v>75</v>
      </c>
      <c r="O113" t="s">
        <v>445</v>
      </c>
      <c r="P113" t="s">
        <v>50</v>
      </c>
      <c r="Q113">
        <v>1</v>
      </c>
      <c r="R113">
        <v>1708.44</v>
      </c>
      <c r="S113">
        <v>0.05</v>
      </c>
      <c r="T113" s="12">
        <f>S113</f>
        <v>0.05</v>
      </c>
      <c r="U113">
        <v>1623.02</v>
      </c>
      <c r="V113">
        <f>Q113*R113*(1-S113)</f>
        <v>1623.018</v>
      </c>
      <c r="W113">
        <v>1077.46</v>
      </c>
      <c r="X113">
        <v>545.55999999999995</v>
      </c>
      <c r="Y113">
        <f>V113-W113</f>
        <v>545.55799999999999</v>
      </c>
      <c r="Z113" s="12">
        <f>Y113/V113</f>
        <v>0.3361379849145234</v>
      </c>
      <c r="AA113" t="s">
        <v>111</v>
      </c>
      <c r="AB113" t="s">
        <v>68</v>
      </c>
      <c r="AC113" s="14" t="s">
        <v>2794</v>
      </c>
      <c r="AD113" t="s">
        <v>2782</v>
      </c>
      <c r="AE113" t="str">
        <f>PROPER(TRIM(AB113))</f>
        <v>Cancelled</v>
      </c>
      <c r="AS113" t="str">
        <f t="shared" si="3"/>
        <v/>
      </c>
    </row>
    <row r="114" spans="1:45">
      <c r="A114" t="s">
        <v>446</v>
      </c>
      <c r="B114" s="7">
        <v>45301</v>
      </c>
      <c r="C114" s="4">
        <v>45305</v>
      </c>
      <c r="D114">
        <f>C114-B114</f>
        <v>4</v>
      </c>
      <c r="E114" t="str">
        <f>TEXT(B114,"mmmm")</f>
        <v>January</v>
      </c>
      <c r="F114">
        <f>YEAR(B114)</f>
        <v>2024</v>
      </c>
      <c r="G114" t="s">
        <v>447</v>
      </c>
      <c r="H114" t="s">
        <v>132</v>
      </c>
      <c r="I114" t="s">
        <v>24</v>
      </c>
      <c r="J114" t="s">
        <v>2783</v>
      </c>
      <c r="K114" t="s">
        <v>180</v>
      </c>
      <c r="L114" t="s">
        <v>181</v>
      </c>
      <c r="M114" t="s">
        <v>74</v>
      </c>
      <c r="N114" t="s">
        <v>75</v>
      </c>
      <c r="O114" t="s">
        <v>448</v>
      </c>
      <c r="P114" t="s">
        <v>59</v>
      </c>
      <c r="Q114">
        <v>3</v>
      </c>
      <c r="R114">
        <v>3829.48</v>
      </c>
      <c r="S114">
        <v>0.05</v>
      </c>
      <c r="T114" s="12">
        <f>S114</f>
        <v>0.05</v>
      </c>
      <c r="U114">
        <v>10914.02</v>
      </c>
      <c r="V114">
        <f>Q114*R114*(1-S114)</f>
        <v>10914.018</v>
      </c>
      <c r="W114">
        <v>6548.74</v>
      </c>
      <c r="X114">
        <v>4365.28</v>
      </c>
      <c r="Y114">
        <f>V114-W114</f>
        <v>4365.2780000000002</v>
      </c>
      <c r="Z114" s="12">
        <f>Y114/V114</f>
        <v>0.39996983695647198</v>
      </c>
      <c r="AA114" t="s">
        <v>32</v>
      </c>
      <c r="AB114" t="s">
        <v>33</v>
      </c>
      <c r="AC114" s="10" t="s">
        <v>2796</v>
      </c>
      <c r="AD114" t="s">
        <v>2782</v>
      </c>
      <c r="AE114" t="str">
        <f>PROPER(TRIM(AB114))</f>
        <v>Completed</v>
      </c>
      <c r="AS114" t="str">
        <f t="shared" si="3"/>
        <v/>
      </c>
    </row>
    <row r="115" spans="1:45">
      <c r="A115" t="s">
        <v>449</v>
      </c>
      <c r="B115" s="7">
        <v>45334</v>
      </c>
      <c r="C115" s="4">
        <v>45334</v>
      </c>
      <c r="D115">
        <f>C115-B115</f>
        <v>0</v>
      </c>
      <c r="E115" t="str">
        <f>TEXT(B115,"mmmm")</f>
        <v>February</v>
      </c>
      <c r="F115">
        <f>YEAR(B115)</f>
        <v>2024</v>
      </c>
      <c r="G115" t="s">
        <v>360</v>
      </c>
      <c r="H115" t="s">
        <v>47</v>
      </c>
      <c r="I115" t="s">
        <v>95</v>
      </c>
      <c r="J115" t="s">
        <v>54</v>
      </c>
      <c r="K115" t="s">
        <v>247</v>
      </c>
      <c r="L115" t="s">
        <v>248</v>
      </c>
      <c r="M115" t="s">
        <v>41</v>
      </c>
      <c r="N115" t="s">
        <v>42</v>
      </c>
      <c r="O115" t="s">
        <v>450</v>
      </c>
      <c r="P115" t="s">
        <v>59</v>
      </c>
      <c r="Q115">
        <v>3</v>
      </c>
      <c r="R115">
        <v>1089.1500000000001</v>
      </c>
      <c r="S115">
        <v>0.25</v>
      </c>
      <c r="T115" s="12">
        <f>S115</f>
        <v>0.25</v>
      </c>
      <c r="U115">
        <v>2450.59</v>
      </c>
      <c r="V115">
        <f>Q115*R115*(1-S115)</f>
        <v>2450.5875000000001</v>
      </c>
      <c r="W115">
        <v>1639.89</v>
      </c>
      <c r="X115">
        <v>810.7</v>
      </c>
      <c r="Y115">
        <f>V115-W115</f>
        <v>810.69749999999999</v>
      </c>
      <c r="Z115" s="12">
        <f>Y115/V115</f>
        <v>0.33081761006289306</v>
      </c>
      <c r="AA115" t="s">
        <v>32</v>
      </c>
      <c r="AB115" t="s">
        <v>33</v>
      </c>
      <c r="AC115" s="14" t="s">
        <v>2794</v>
      </c>
      <c r="AD115" t="s">
        <v>2782</v>
      </c>
      <c r="AE115" t="str">
        <f>PROPER(TRIM(AB115))</f>
        <v>Completed</v>
      </c>
      <c r="AS115" t="str">
        <f t="shared" si="3"/>
        <v/>
      </c>
    </row>
    <row r="116" spans="1:45">
      <c r="A116" t="s">
        <v>451</v>
      </c>
      <c r="B116" s="7">
        <v>45560</v>
      </c>
      <c r="C116" s="4">
        <v>45565</v>
      </c>
      <c r="D116">
        <f>C116-B116</f>
        <v>5</v>
      </c>
      <c r="E116" t="str">
        <f>TEXT(B116,"mmmm")</f>
        <v>September</v>
      </c>
      <c r="F116">
        <f>YEAR(B116)</f>
        <v>2024</v>
      </c>
      <c r="G116" t="s">
        <v>452</v>
      </c>
      <c r="H116" t="s">
        <v>79</v>
      </c>
      <c r="I116" t="s">
        <v>37</v>
      </c>
      <c r="J116" t="s">
        <v>25</v>
      </c>
      <c r="K116" t="s">
        <v>26</v>
      </c>
      <c r="L116" t="s">
        <v>27</v>
      </c>
      <c r="M116" t="s">
        <v>74</v>
      </c>
      <c r="N116" t="s">
        <v>75</v>
      </c>
      <c r="O116" t="s">
        <v>453</v>
      </c>
      <c r="P116" t="s">
        <v>31</v>
      </c>
      <c r="Q116">
        <v>1</v>
      </c>
      <c r="R116">
        <v>4388.3999999999996</v>
      </c>
      <c r="S116">
        <v>0.1</v>
      </c>
      <c r="T116" s="12">
        <f>S116</f>
        <v>0.1</v>
      </c>
      <c r="U116">
        <v>3949.56</v>
      </c>
      <c r="V116">
        <f>Q116*R116*(1-S116)</f>
        <v>3949.56</v>
      </c>
      <c r="W116">
        <v>3186.73</v>
      </c>
      <c r="X116">
        <v>762.83</v>
      </c>
      <c r="Y116">
        <f>V116-W116</f>
        <v>762.82999999999993</v>
      </c>
      <c r="Z116" s="12">
        <f>Y116/V116</f>
        <v>0.19314303365438173</v>
      </c>
      <c r="AA116" t="s">
        <v>111</v>
      </c>
      <c r="AB116" t="s">
        <v>68</v>
      </c>
      <c r="AC116" s="14" t="s">
        <v>2794</v>
      </c>
      <c r="AD116" t="s">
        <v>2782</v>
      </c>
      <c r="AE116" t="str">
        <f>PROPER(TRIM(AB116))</f>
        <v>Cancelled</v>
      </c>
      <c r="AS116" t="str">
        <f t="shared" si="3"/>
        <v/>
      </c>
    </row>
    <row r="117" spans="1:45">
      <c r="A117" t="s">
        <v>454</v>
      </c>
      <c r="B117" s="7">
        <v>45653</v>
      </c>
      <c r="C117" s="4">
        <v>45658</v>
      </c>
      <c r="D117">
        <f>C117-B117</f>
        <v>5</v>
      </c>
      <c r="E117" t="str">
        <f>TEXT(B117,"mmmm")</f>
        <v>December</v>
      </c>
      <c r="F117">
        <f>YEAR(B117)</f>
        <v>2024</v>
      </c>
      <c r="G117" t="s">
        <v>455</v>
      </c>
      <c r="H117" t="s">
        <v>264</v>
      </c>
      <c r="I117" t="s">
        <v>90</v>
      </c>
      <c r="J117" t="s">
        <v>54</v>
      </c>
      <c r="K117" t="s">
        <v>247</v>
      </c>
      <c r="L117" t="s">
        <v>248</v>
      </c>
      <c r="M117" t="s">
        <v>28</v>
      </c>
      <c r="N117" t="s">
        <v>153</v>
      </c>
      <c r="O117" t="s">
        <v>456</v>
      </c>
      <c r="P117" t="s">
        <v>44</v>
      </c>
      <c r="Q117">
        <v>2</v>
      </c>
      <c r="R117">
        <v>446.34</v>
      </c>
      <c r="S117">
        <v>0.15</v>
      </c>
      <c r="T117" s="12">
        <f>S117</f>
        <v>0.15</v>
      </c>
      <c r="U117">
        <v>758.78</v>
      </c>
      <c r="V117">
        <f>Q117*R117*(1-S117)</f>
        <v>758.77799999999991</v>
      </c>
      <c r="W117">
        <v>490.74</v>
      </c>
      <c r="X117">
        <v>268.04000000000002</v>
      </c>
      <c r="Y117">
        <f>V117-W117</f>
        <v>268.0379999999999</v>
      </c>
      <c r="Z117" s="12">
        <f>Y117/V117</f>
        <v>0.35324956706704719</v>
      </c>
      <c r="AA117" t="s">
        <v>32</v>
      </c>
      <c r="AB117" t="s">
        <v>68</v>
      </c>
      <c r="AC117" s="14" t="s">
        <v>2794</v>
      </c>
      <c r="AD117" t="s">
        <v>2782</v>
      </c>
      <c r="AE117" t="str">
        <f>PROPER(TRIM(AB117))</f>
        <v>Cancelled</v>
      </c>
      <c r="AS117" t="str">
        <f t="shared" si="3"/>
        <v/>
      </c>
    </row>
    <row r="118" spans="1:45">
      <c r="A118" t="s">
        <v>457</v>
      </c>
      <c r="B118" s="7">
        <v>45703</v>
      </c>
      <c r="C118" s="4">
        <v>45707</v>
      </c>
      <c r="D118">
        <f>C118-B118</f>
        <v>4</v>
      </c>
      <c r="E118" t="str">
        <f>TEXT(B118,"mmmm")</f>
        <v>February</v>
      </c>
      <c r="F118">
        <f>YEAR(B118)</f>
        <v>2025</v>
      </c>
      <c r="G118" t="s">
        <v>458</v>
      </c>
      <c r="H118" t="s">
        <v>62</v>
      </c>
      <c r="I118" t="s">
        <v>37</v>
      </c>
      <c r="J118" t="s">
        <v>2783</v>
      </c>
      <c r="K118" t="s">
        <v>72</v>
      </c>
      <c r="L118" t="s">
        <v>73</v>
      </c>
      <c r="M118" t="s">
        <v>28</v>
      </c>
      <c r="N118" t="s">
        <v>153</v>
      </c>
      <c r="O118" t="s">
        <v>459</v>
      </c>
      <c r="P118" t="s">
        <v>50</v>
      </c>
      <c r="Q118">
        <v>9</v>
      </c>
      <c r="R118">
        <v>531.99</v>
      </c>
      <c r="S118">
        <v>0.25</v>
      </c>
      <c r="T118" s="12">
        <f>S118</f>
        <v>0.25</v>
      </c>
      <c r="U118">
        <v>3590.93</v>
      </c>
      <c r="V118">
        <f>Q118*R118*(1-S118)</f>
        <v>3590.9324999999999</v>
      </c>
      <c r="W118">
        <v>3061.39</v>
      </c>
      <c r="X118">
        <v>529.54</v>
      </c>
      <c r="Y118">
        <f>V118-W118</f>
        <v>529.54250000000002</v>
      </c>
      <c r="Z118" s="12">
        <f>Y118/V118</f>
        <v>0.14746657031286442</v>
      </c>
      <c r="AA118" t="s">
        <v>155</v>
      </c>
      <c r="AB118" t="s">
        <v>68</v>
      </c>
      <c r="AC118" s="10" t="s">
        <v>2796</v>
      </c>
      <c r="AD118" t="s">
        <v>2782</v>
      </c>
      <c r="AE118" t="str">
        <f>PROPER(TRIM(AB118))</f>
        <v>Cancelled</v>
      </c>
      <c r="AS118" t="str">
        <f t="shared" si="3"/>
        <v/>
      </c>
    </row>
    <row r="119" spans="1:45">
      <c r="A119" t="s">
        <v>460</v>
      </c>
      <c r="B119" s="7">
        <v>45337</v>
      </c>
      <c r="C119" s="4">
        <v>45339</v>
      </c>
      <c r="D119">
        <f>C119-B119</f>
        <v>2</v>
      </c>
      <c r="E119" t="str">
        <f>TEXT(B119,"mmmm")</f>
        <v>February</v>
      </c>
      <c r="F119">
        <f>YEAR(B119)</f>
        <v>2024</v>
      </c>
      <c r="G119" t="s">
        <v>461</v>
      </c>
      <c r="H119" t="s">
        <v>36</v>
      </c>
      <c r="I119" t="s">
        <v>95</v>
      </c>
      <c r="J119" t="s">
        <v>54</v>
      </c>
      <c r="K119" t="s">
        <v>247</v>
      </c>
      <c r="L119" t="s">
        <v>248</v>
      </c>
      <c r="M119" t="s">
        <v>74</v>
      </c>
      <c r="N119" t="s">
        <v>274</v>
      </c>
      <c r="O119" t="s">
        <v>462</v>
      </c>
      <c r="P119" t="s">
        <v>59</v>
      </c>
      <c r="Q119">
        <v>9</v>
      </c>
      <c r="R119">
        <v>3324.55</v>
      </c>
      <c r="S119" s="3">
        <v>0.7</v>
      </c>
      <c r="T119" s="13">
        <f>S119</f>
        <v>0.7</v>
      </c>
      <c r="U119">
        <v>25432.81</v>
      </c>
      <c r="V119">
        <f>Q119*R119*(1-S119)</f>
        <v>8976.2850000000017</v>
      </c>
      <c r="W119">
        <v>20370.16</v>
      </c>
      <c r="X119">
        <v>5062.6499999999996</v>
      </c>
      <c r="Y119">
        <f>V119-W119</f>
        <v>-11393.874999999998</v>
      </c>
      <c r="Z119" s="12">
        <f>Y119/V119</f>
        <v>-1.2693307977632167</v>
      </c>
      <c r="AA119" t="s">
        <v>32</v>
      </c>
      <c r="AB119" t="s">
        <v>33</v>
      </c>
      <c r="AC119" s="10" t="s">
        <v>2793</v>
      </c>
      <c r="AD119" t="s">
        <v>2782</v>
      </c>
      <c r="AE119" t="str">
        <f>PROPER(TRIM(AB119))</f>
        <v>Completed</v>
      </c>
      <c r="AS119" t="str">
        <f t="shared" si="3"/>
        <v/>
      </c>
    </row>
    <row r="120" spans="1:45">
      <c r="A120" t="s">
        <v>463</v>
      </c>
      <c r="B120" s="7">
        <v>45571</v>
      </c>
      <c r="C120" s="4">
        <v>45461</v>
      </c>
      <c r="D120" s="10">
        <f>C120-B120</f>
        <v>-110</v>
      </c>
      <c r="E120" t="str">
        <f>TEXT(B120,"mmmm")</f>
        <v>October</v>
      </c>
      <c r="F120">
        <f>YEAR(B120)</f>
        <v>2024</v>
      </c>
      <c r="G120" t="s">
        <v>464</v>
      </c>
      <c r="H120" t="s">
        <v>71</v>
      </c>
      <c r="I120" t="s">
        <v>95</v>
      </c>
      <c r="J120" t="s">
        <v>54</v>
      </c>
      <c r="K120" t="s">
        <v>84</v>
      </c>
      <c r="L120" t="s">
        <v>85</v>
      </c>
      <c r="M120" t="s">
        <v>74</v>
      </c>
      <c r="N120" t="s">
        <v>80</v>
      </c>
      <c r="O120" t="s">
        <v>465</v>
      </c>
      <c r="P120" t="s">
        <v>44</v>
      </c>
      <c r="Q120">
        <v>5</v>
      </c>
      <c r="R120">
        <v>1580.27</v>
      </c>
      <c r="S120">
        <v>0.2</v>
      </c>
      <c r="T120" s="12">
        <f>S120</f>
        <v>0.2</v>
      </c>
      <c r="U120">
        <v>6321.08</v>
      </c>
      <c r="V120">
        <f>Q120*R120*(1-S120)</f>
        <v>6321.0800000000008</v>
      </c>
      <c r="W120">
        <v>4407.22</v>
      </c>
      <c r="X120">
        <v>1913.86</v>
      </c>
      <c r="Y120">
        <f>V120-W120</f>
        <v>1913.8600000000006</v>
      </c>
      <c r="Z120" s="12">
        <f>Y120/V120</f>
        <v>0.30277420947053357</v>
      </c>
      <c r="AA120" t="s">
        <v>32</v>
      </c>
      <c r="AB120" t="s">
        <v>33</v>
      </c>
      <c r="AC120" s="10" t="s">
        <v>2792</v>
      </c>
      <c r="AD120" t="s">
        <v>2782</v>
      </c>
      <c r="AE120" t="str">
        <f>PROPER(TRIM(AB120))</f>
        <v>Completed</v>
      </c>
      <c r="AS120" t="str">
        <f t="shared" si="3"/>
        <v/>
      </c>
    </row>
    <row r="121" spans="1:45">
      <c r="A121" t="s">
        <v>466</v>
      </c>
      <c r="B121" s="7">
        <v>45455</v>
      </c>
      <c r="C121" s="4">
        <v>45462</v>
      </c>
      <c r="D121">
        <f>C121-B121</f>
        <v>7</v>
      </c>
      <c r="E121" t="str">
        <f>TEXT(B121,"mmmm")</f>
        <v>June</v>
      </c>
      <c r="F121">
        <f>YEAR(B121)</f>
        <v>2024</v>
      </c>
      <c r="G121" t="s">
        <v>467</v>
      </c>
      <c r="H121" t="s">
        <v>89</v>
      </c>
      <c r="I121" t="s">
        <v>37</v>
      </c>
      <c r="J121" t="s">
        <v>54</v>
      </c>
      <c r="K121" t="s">
        <v>185</v>
      </c>
      <c r="L121" t="s">
        <v>186</v>
      </c>
      <c r="M121" t="s">
        <v>41</v>
      </c>
      <c r="N121" t="s">
        <v>66</v>
      </c>
      <c r="O121" t="s">
        <v>468</v>
      </c>
      <c r="P121" t="s">
        <v>59</v>
      </c>
      <c r="Q121">
        <v>8</v>
      </c>
      <c r="R121">
        <v>314.05</v>
      </c>
      <c r="S121">
        <v>0.25</v>
      </c>
      <c r="T121" s="12">
        <f>S121</f>
        <v>0.25</v>
      </c>
      <c r="U121">
        <v>1884.3</v>
      </c>
      <c r="V121">
        <f>Q121*R121*(1-S121)</f>
        <v>1884.3000000000002</v>
      </c>
      <c r="W121">
        <v>1517.69</v>
      </c>
      <c r="X121">
        <v>366.61</v>
      </c>
      <c r="Y121">
        <f>V121-W121</f>
        <v>366.61000000000013</v>
      </c>
      <c r="Z121" s="12">
        <f>Y121/V121</f>
        <v>0.19456031417502526</v>
      </c>
      <c r="AA121" t="s">
        <v>102</v>
      </c>
      <c r="AB121" t="s">
        <v>103</v>
      </c>
      <c r="AC121" s="14" t="s">
        <v>2794</v>
      </c>
      <c r="AD121" t="s">
        <v>2782</v>
      </c>
      <c r="AE121" t="str">
        <f>PROPER(TRIM(AB121))</f>
        <v>Returned</v>
      </c>
      <c r="AS121" t="str">
        <f t="shared" si="3"/>
        <v/>
      </c>
    </row>
    <row r="122" spans="1:45">
      <c r="A122" t="s">
        <v>469</v>
      </c>
      <c r="B122" s="7">
        <v>45514</v>
      </c>
      <c r="C122" s="4">
        <v>45522</v>
      </c>
      <c r="D122">
        <f>C122-B122</f>
        <v>8</v>
      </c>
      <c r="E122" t="str">
        <f>TEXT(B122,"mmmm")</f>
        <v>August</v>
      </c>
      <c r="F122">
        <f>YEAR(B122)</f>
        <v>2024</v>
      </c>
      <c r="G122" t="s">
        <v>470</v>
      </c>
      <c r="H122" t="s">
        <v>132</v>
      </c>
      <c r="I122" t="s">
        <v>37</v>
      </c>
      <c r="J122" t="s">
        <v>38</v>
      </c>
      <c r="K122" t="s">
        <v>145</v>
      </c>
      <c r="L122" t="s">
        <v>146</v>
      </c>
      <c r="M122" t="s">
        <v>74</v>
      </c>
      <c r="N122" t="s">
        <v>171</v>
      </c>
      <c r="O122" t="s">
        <v>471</v>
      </c>
      <c r="P122" t="s">
        <v>59</v>
      </c>
      <c r="Q122">
        <v>1</v>
      </c>
      <c r="R122">
        <v>1823.67</v>
      </c>
      <c r="S122">
        <v>0.2</v>
      </c>
      <c r="T122" s="12">
        <f>S122</f>
        <v>0.2</v>
      </c>
      <c r="U122">
        <v>1458.94</v>
      </c>
      <c r="V122">
        <f>Q122*R122*(1-S122)</f>
        <v>1458.9360000000001</v>
      </c>
      <c r="W122">
        <v>893.2</v>
      </c>
      <c r="X122">
        <v>565.74</v>
      </c>
      <c r="Y122">
        <f>V122-W122</f>
        <v>565.7360000000001</v>
      </c>
      <c r="Z122" s="12">
        <f>Y122/V122</f>
        <v>0.38777300717783375</v>
      </c>
      <c r="AA122" t="s">
        <v>32</v>
      </c>
      <c r="AB122" t="s">
        <v>103</v>
      </c>
      <c r="AC122" s="14" t="s">
        <v>2794</v>
      </c>
      <c r="AD122" t="s">
        <v>2782</v>
      </c>
      <c r="AE122" t="str">
        <f>PROPER(TRIM(AB122))</f>
        <v>Returned</v>
      </c>
      <c r="AS122" t="str">
        <f t="shared" si="3"/>
        <v/>
      </c>
    </row>
    <row r="123" spans="1:45">
      <c r="A123" t="s">
        <v>472</v>
      </c>
      <c r="B123" s="7">
        <v>45891</v>
      </c>
      <c r="C123" s="4">
        <v>45895</v>
      </c>
      <c r="D123">
        <f>C123-B123</f>
        <v>4</v>
      </c>
      <c r="E123" t="str">
        <f>TEXT(B123,"mmmm")</f>
        <v>August</v>
      </c>
      <c r="F123">
        <f>YEAR(B123)</f>
        <v>2025</v>
      </c>
      <c r="G123" t="s">
        <v>473</v>
      </c>
      <c r="H123" t="s">
        <v>264</v>
      </c>
      <c r="I123" t="s">
        <v>37</v>
      </c>
      <c r="J123" t="s">
        <v>54</v>
      </c>
      <c r="K123" t="s">
        <v>84</v>
      </c>
      <c r="L123" t="s">
        <v>85</v>
      </c>
      <c r="M123" t="s">
        <v>74</v>
      </c>
      <c r="N123" t="s">
        <v>274</v>
      </c>
      <c r="O123" t="s">
        <v>474</v>
      </c>
      <c r="P123" t="s">
        <v>31</v>
      </c>
      <c r="Q123">
        <v>5</v>
      </c>
      <c r="R123">
        <v>3482.92</v>
      </c>
      <c r="S123">
        <v>0</v>
      </c>
      <c r="T123" s="12">
        <f>S123</f>
        <v>0</v>
      </c>
      <c r="U123">
        <v>17414.599999999999</v>
      </c>
      <c r="V123">
        <f>Q123*R123*(1-S123)</f>
        <v>17414.599999999999</v>
      </c>
      <c r="W123">
        <v>11760.91</v>
      </c>
      <c r="X123">
        <v>5653.69</v>
      </c>
      <c r="Y123">
        <f>V123-W123</f>
        <v>5653.6899999999987</v>
      </c>
      <c r="Z123" s="12">
        <f>Y123/V123</f>
        <v>0.3246523032398102</v>
      </c>
      <c r="AA123" t="s">
        <v>102</v>
      </c>
      <c r="AB123" t="s">
        <v>68</v>
      </c>
      <c r="AC123" s="14" t="s">
        <v>2794</v>
      </c>
      <c r="AD123" t="s">
        <v>2782</v>
      </c>
      <c r="AE123" t="str">
        <f>PROPER(TRIM(AB123))</f>
        <v>Cancelled</v>
      </c>
      <c r="AS123" t="str">
        <f t="shared" si="3"/>
        <v/>
      </c>
    </row>
    <row r="124" spans="1:45">
      <c r="A124" t="s">
        <v>475</v>
      </c>
      <c r="B124" s="7">
        <v>45626</v>
      </c>
      <c r="C124" s="4">
        <v>45630</v>
      </c>
      <c r="D124">
        <f>C124-B124</f>
        <v>4</v>
      </c>
      <c r="E124" t="str">
        <f>TEXT(B124,"mmmm")</f>
        <v>November</v>
      </c>
      <c r="F124">
        <f>YEAR(B124)</f>
        <v>2024</v>
      </c>
      <c r="G124" t="s">
        <v>476</v>
      </c>
      <c r="H124" t="s">
        <v>62</v>
      </c>
      <c r="I124" t="s">
        <v>37</v>
      </c>
      <c r="J124" t="s">
        <v>38</v>
      </c>
      <c r="K124" t="s">
        <v>166</v>
      </c>
      <c r="L124" t="s">
        <v>167</v>
      </c>
      <c r="M124" t="s">
        <v>41</v>
      </c>
      <c r="N124" t="s">
        <v>66</v>
      </c>
      <c r="O124" t="s">
        <v>477</v>
      </c>
      <c r="P124" t="s">
        <v>31</v>
      </c>
      <c r="Q124">
        <v>3</v>
      </c>
      <c r="R124">
        <v>170.35</v>
      </c>
      <c r="S124">
        <v>0</v>
      </c>
      <c r="T124" s="12">
        <f>S124</f>
        <v>0</v>
      </c>
      <c r="U124">
        <v>511.05</v>
      </c>
      <c r="V124">
        <f>Q124*R124*(1-S124)</f>
        <v>511.04999999999995</v>
      </c>
      <c r="W124">
        <v>367.18</v>
      </c>
      <c r="X124">
        <v>143.87</v>
      </c>
      <c r="Y124">
        <f>V124-W124</f>
        <v>143.86999999999995</v>
      </c>
      <c r="Z124" s="12">
        <f>Y124/V124</f>
        <v>0.28151844242246349</v>
      </c>
      <c r="AA124" t="s">
        <v>32</v>
      </c>
      <c r="AB124" t="s">
        <v>33</v>
      </c>
      <c r="AC124" s="14" t="s">
        <v>2794</v>
      </c>
      <c r="AD124" t="s">
        <v>2782</v>
      </c>
      <c r="AE124" t="str">
        <f>PROPER(TRIM(AB124))</f>
        <v>Completed</v>
      </c>
      <c r="AS124" t="str">
        <f t="shared" si="3"/>
        <v/>
      </c>
    </row>
    <row r="125" spans="1:45">
      <c r="A125" t="s">
        <v>478</v>
      </c>
      <c r="B125" s="7">
        <v>45436</v>
      </c>
      <c r="C125" s="4">
        <v>45437</v>
      </c>
      <c r="D125">
        <f>C125-B125</f>
        <v>1</v>
      </c>
      <c r="E125" t="str">
        <f>TEXT(B125,"mmmm")</f>
        <v>May</v>
      </c>
      <c r="F125">
        <f>YEAR(B125)</f>
        <v>2024</v>
      </c>
      <c r="G125" t="s">
        <v>479</v>
      </c>
      <c r="H125" t="s">
        <v>132</v>
      </c>
      <c r="I125" t="s">
        <v>37</v>
      </c>
      <c r="J125" t="s">
        <v>25</v>
      </c>
      <c r="K125" t="s">
        <v>122</v>
      </c>
      <c r="L125" t="s">
        <v>123</v>
      </c>
      <c r="M125" t="s">
        <v>74</v>
      </c>
      <c r="N125" t="s">
        <v>80</v>
      </c>
      <c r="O125" t="s">
        <v>480</v>
      </c>
      <c r="P125" t="s">
        <v>44</v>
      </c>
      <c r="Q125">
        <v>1</v>
      </c>
      <c r="R125">
        <v>634.13</v>
      </c>
      <c r="S125">
        <v>0</v>
      </c>
      <c r="T125" s="12">
        <f>S125</f>
        <v>0</v>
      </c>
      <c r="U125">
        <v>634.13</v>
      </c>
      <c r="V125">
        <f>Q125*R125*(1-S125)</f>
        <v>634.13</v>
      </c>
      <c r="W125">
        <v>453.35</v>
      </c>
      <c r="X125">
        <v>180.78</v>
      </c>
      <c r="Y125">
        <f>V125-W125</f>
        <v>180.77999999999997</v>
      </c>
      <c r="Z125" s="12">
        <f>Y125/V125</f>
        <v>0.28508350022865969</v>
      </c>
      <c r="AA125" t="s">
        <v>102</v>
      </c>
      <c r="AB125" t="s">
        <v>68</v>
      </c>
      <c r="AC125" s="14" t="s">
        <v>2794</v>
      </c>
      <c r="AD125" t="s">
        <v>2782</v>
      </c>
      <c r="AE125" t="str">
        <f>PROPER(TRIM(AB125))</f>
        <v>Cancelled</v>
      </c>
      <c r="AS125" t="str">
        <f t="shared" si="3"/>
        <v/>
      </c>
    </row>
    <row r="126" spans="1:45">
      <c r="A126" t="s">
        <v>481</v>
      </c>
      <c r="B126" s="7">
        <v>45494</v>
      </c>
      <c r="C126" s="4">
        <v>45497</v>
      </c>
      <c r="D126">
        <f>C126-B126</f>
        <v>3</v>
      </c>
      <c r="E126" t="str">
        <f>TEXT(B126,"mmmm")</f>
        <v>July</v>
      </c>
      <c r="F126">
        <f>YEAR(B126)</f>
        <v>2024</v>
      </c>
      <c r="G126" t="s">
        <v>482</v>
      </c>
      <c r="H126" t="s">
        <v>47</v>
      </c>
      <c r="I126" t="s">
        <v>90</v>
      </c>
      <c r="J126" t="s">
        <v>54</v>
      </c>
      <c r="K126" t="s">
        <v>175</v>
      </c>
      <c r="L126" t="s">
        <v>176</v>
      </c>
      <c r="M126" t="s">
        <v>74</v>
      </c>
      <c r="N126" t="s">
        <v>80</v>
      </c>
      <c r="O126" t="s">
        <v>483</v>
      </c>
      <c r="P126" t="s">
        <v>59</v>
      </c>
      <c r="Q126">
        <v>9</v>
      </c>
      <c r="R126">
        <v>465.06</v>
      </c>
      <c r="S126">
        <v>-0.15</v>
      </c>
      <c r="T126" s="13">
        <f>S126</f>
        <v>-0.15</v>
      </c>
      <c r="U126">
        <v>4185.54</v>
      </c>
      <c r="V126">
        <f>Q126*R126*(1-S126)</f>
        <v>4813.3709999999992</v>
      </c>
      <c r="W126">
        <v>3443.74</v>
      </c>
      <c r="X126">
        <v>741.8</v>
      </c>
      <c r="Y126">
        <f>V126-W126</f>
        <v>1369.6309999999994</v>
      </c>
      <c r="Z126" s="12">
        <f>Y126/V126</f>
        <v>0.28454715001191466</v>
      </c>
      <c r="AA126" t="s">
        <v>32</v>
      </c>
      <c r="AB126" t="s">
        <v>33</v>
      </c>
      <c r="AC126" s="10" t="s">
        <v>2793</v>
      </c>
      <c r="AD126" t="s">
        <v>2782</v>
      </c>
      <c r="AE126" t="str">
        <f>PROPER(TRIM(AB126))</f>
        <v>Completed</v>
      </c>
      <c r="AS126" t="str">
        <f t="shared" si="3"/>
        <v/>
      </c>
    </row>
    <row r="127" spans="1:45">
      <c r="A127" t="s">
        <v>484</v>
      </c>
      <c r="B127" s="7">
        <v>45855</v>
      </c>
      <c r="C127" s="4">
        <v>45856</v>
      </c>
      <c r="D127">
        <f>C127-B127</f>
        <v>1</v>
      </c>
      <c r="E127" t="str">
        <f>TEXT(B127,"mmmm")</f>
        <v>July</v>
      </c>
      <c r="F127">
        <f>YEAR(B127)</f>
        <v>2025</v>
      </c>
      <c r="G127" t="s">
        <v>485</v>
      </c>
      <c r="H127" t="s">
        <v>79</v>
      </c>
      <c r="I127" t="s">
        <v>37</v>
      </c>
      <c r="J127" t="s">
        <v>63</v>
      </c>
      <c r="K127" t="s">
        <v>26</v>
      </c>
      <c r="L127" t="s">
        <v>109</v>
      </c>
      <c r="M127" t="s">
        <v>41</v>
      </c>
      <c r="N127" t="s">
        <v>42</v>
      </c>
      <c r="O127" t="s">
        <v>486</v>
      </c>
      <c r="P127" t="s">
        <v>44</v>
      </c>
      <c r="Q127">
        <v>6</v>
      </c>
      <c r="R127">
        <v>3235.27</v>
      </c>
      <c r="S127">
        <v>0.25</v>
      </c>
      <c r="T127" s="12">
        <f>S127</f>
        <v>0.25</v>
      </c>
      <c r="U127">
        <v>14558.72</v>
      </c>
      <c r="V127">
        <f>Q127*R127*(1-S127)</f>
        <v>14558.715</v>
      </c>
      <c r="W127">
        <v>9591.48</v>
      </c>
      <c r="X127">
        <v>4967.24</v>
      </c>
      <c r="Y127">
        <f>V127-W127</f>
        <v>4967.2350000000006</v>
      </c>
      <c r="Z127" s="12">
        <f>Y127/V127</f>
        <v>0.34118636157105903</v>
      </c>
      <c r="AA127" t="s">
        <v>102</v>
      </c>
      <c r="AB127" t="s">
        <v>103</v>
      </c>
      <c r="AC127" s="14" t="s">
        <v>2794</v>
      </c>
      <c r="AD127" t="s">
        <v>2782</v>
      </c>
      <c r="AE127" t="str">
        <f>PROPER(TRIM(AB127))</f>
        <v>Returned</v>
      </c>
      <c r="AS127" t="str">
        <f t="shared" si="3"/>
        <v/>
      </c>
    </row>
    <row r="128" spans="1:45">
      <c r="A128" t="s">
        <v>487</v>
      </c>
      <c r="B128" s="7">
        <v>45924</v>
      </c>
      <c r="C128" s="4">
        <v>45926</v>
      </c>
      <c r="D128">
        <f>C128-B128</f>
        <v>2</v>
      </c>
      <c r="E128" t="str">
        <f>TEXT(B128,"mmmm")</f>
        <v>September</v>
      </c>
      <c r="F128">
        <f>YEAR(B128)</f>
        <v>2025</v>
      </c>
      <c r="G128" t="s">
        <v>488</v>
      </c>
      <c r="H128" t="s">
        <v>114</v>
      </c>
      <c r="I128" t="s">
        <v>90</v>
      </c>
      <c r="J128" t="s">
        <v>25</v>
      </c>
      <c r="K128" t="s">
        <v>350</v>
      </c>
      <c r="L128" t="s">
        <v>351</v>
      </c>
      <c r="M128" t="s">
        <v>74</v>
      </c>
      <c r="N128" t="s">
        <v>80</v>
      </c>
      <c r="O128" t="s">
        <v>489</v>
      </c>
      <c r="P128" t="s">
        <v>59</v>
      </c>
      <c r="Q128">
        <v>3</v>
      </c>
      <c r="R128">
        <v>1593.86</v>
      </c>
      <c r="S128">
        <v>0.1</v>
      </c>
      <c r="T128" s="12">
        <f>S128</f>
        <v>0.1</v>
      </c>
      <c r="U128">
        <v>4303.42</v>
      </c>
      <c r="V128">
        <f>Q128*R128*(1-S128)</f>
        <v>4303.4220000000005</v>
      </c>
      <c r="W128">
        <v>2568.5700000000002</v>
      </c>
      <c r="X128">
        <v>1734.85</v>
      </c>
      <c r="Y128">
        <f>V128-W128</f>
        <v>1734.8520000000003</v>
      </c>
      <c r="Z128" s="12">
        <f>Y128/V128</f>
        <v>0.40313313451481175</v>
      </c>
      <c r="AA128" t="s">
        <v>32</v>
      </c>
      <c r="AB128" t="s">
        <v>33</v>
      </c>
      <c r="AC128" s="14" t="s">
        <v>2794</v>
      </c>
      <c r="AD128" t="s">
        <v>2782</v>
      </c>
      <c r="AE128" t="str">
        <f>PROPER(TRIM(AB128))</f>
        <v>Completed</v>
      </c>
      <c r="AS128" t="str">
        <f t="shared" si="3"/>
        <v/>
      </c>
    </row>
    <row r="129" spans="1:45">
      <c r="A129" t="s">
        <v>490</v>
      </c>
      <c r="B129" s="7">
        <v>45687</v>
      </c>
      <c r="C129" s="4">
        <v>45683</v>
      </c>
      <c r="D129" s="10">
        <f>C129-B129</f>
        <v>-4</v>
      </c>
      <c r="E129" t="str">
        <f>TEXT(B129,"mmmm")</f>
        <v>January</v>
      </c>
      <c r="F129">
        <f>YEAR(B129)</f>
        <v>2025</v>
      </c>
      <c r="G129" t="s">
        <v>491</v>
      </c>
      <c r="H129" t="s">
        <v>114</v>
      </c>
      <c r="I129" t="s">
        <v>90</v>
      </c>
      <c r="J129" t="s">
        <v>63</v>
      </c>
      <c r="K129" t="s">
        <v>72</v>
      </c>
      <c r="L129" t="s">
        <v>73</v>
      </c>
      <c r="M129" t="s">
        <v>28</v>
      </c>
      <c r="N129" t="s">
        <v>124</v>
      </c>
      <c r="O129" t="s">
        <v>492</v>
      </c>
      <c r="P129" t="s">
        <v>31</v>
      </c>
      <c r="Q129">
        <v>2</v>
      </c>
      <c r="R129">
        <v>3039.3</v>
      </c>
      <c r="S129">
        <v>0.05</v>
      </c>
      <c r="T129" s="12">
        <f>S129</f>
        <v>0.05</v>
      </c>
      <c r="U129">
        <v>5774.67</v>
      </c>
      <c r="V129">
        <f>Q129*R129*(1-S129)</f>
        <v>5774.67</v>
      </c>
      <c r="W129">
        <v>3518.36</v>
      </c>
      <c r="X129">
        <v>2256.31</v>
      </c>
      <c r="Y129">
        <f>V129-W129</f>
        <v>2256.31</v>
      </c>
      <c r="Z129" s="12">
        <f>Y129/V129</f>
        <v>0.39072535746631409</v>
      </c>
      <c r="AA129" t="s">
        <v>32</v>
      </c>
      <c r="AB129" t="s">
        <v>33</v>
      </c>
      <c r="AC129" s="10" t="s">
        <v>2792</v>
      </c>
      <c r="AD129" t="s">
        <v>2782</v>
      </c>
      <c r="AE129" t="str">
        <f>PROPER(TRIM(AB129))</f>
        <v>Completed</v>
      </c>
      <c r="AS129" t="str">
        <f t="shared" si="3"/>
        <v/>
      </c>
    </row>
    <row r="130" spans="1:45">
      <c r="A130" t="s">
        <v>493</v>
      </c>
      <c r="B130" s="7">
        <v>45639</v>
      </c>
      <c r="C130" s="4">
        <v>45642</v>
      </c>
      <c r="D130">
        <f>C130-B130</f>
        <v>3</v>
      </c>
      <c r="E130" t="str">
        <f>TEXT(B130,"mmmm")</f>
        <v>December</v>
      </c>
      <c r="F130">
        <f>YEAR(B130)</f>
        <v>2024</v>
      </c>
      <c r="G130" t="s">
        <v>494</v>
      </c>
      <c r="H130" t="s">
        <v>79</v>
      </c>
      <c r="I130" t="s">
        <v>37</v>
      </c>
      <c r="J130" t="s">
        <v>38</v>
      </c>
      <c r="K130" t="s">
        <v>39</v>
      </c>
      <c r="L130" t="s">
        <v>40</v>
      </c>
      <c r="M130" t="s">
        <v>41</v>
      </c>
      <c r="N130" t="s">
        <v>57</v>
      </c>
      <c r="O130" t="s">
        <v>495</v>
      </c>
      <c r="P130" t="s">
        <v>59</v>
      </c>
      <c r="Q130">
        <v>5</v>
      </c>
      <c r="R130">
        <v>923.45</v>
      </c>
      <c r="S130">
        <v>0.05</v>
      </c>
      <c r="T130" s="12">
        <f>S130</f>
        <v>0.05</v>
      </c>
      <c r="U130">
        <v>4386.3900000000003</v>
      </c>
      <c r="V130">
        <f>Q130*R130*(1-S130)</f>
        <v>4386.3874999999998</v>
      </c>
      <c r="W130">
        <v>3366.88</v>
      </c>
      <c r="X130">
        <v>1019.51</v>
      </c>
      <c r="Y130">
        <f>V130-W130</f>
        <v>1019.5074999999997</v>
      </c>
      <c r="Z130" s="12">
        <f>Y130/V130</f>
        <v>0.2324253158208206</v>
      </c>
      <c r="AA130" t="s">
        <v>32</v>
      </c>
      <c r="AB130" t="s">
        <v>103</v>
      </c>
      <c r="AC130" s="14" t="s">
        <v>2794</v>
      </c>
      <c r="AD130" t="s">
        <v>2782</v>
      </c>
      <c r="AE130" t="str">
        <f>PROPER(TRIM(AB130))</f>
        <v>Returned</v>
      </c>
      <c r="AS130" t="str">
        <f t="shared" si="3"/>
        <v/>
      </c>
    </row>
    <row r="131" spans="1:45">
      <c r="A131" t="s">
        <v>496</v>
      </c>
      <c r="B131" s="7">
        <v>45492</v>
      </c>
      <c r="C131" s="4">
        <v>45498</v>
      </c>
      <c r="D131">
        <f>C131-B131</f>
        <v>6</v>
      </c>
      <c r="E131" t="str">
        <f>TEXT(B131,"mmmm")</f>
        <v>July</v>
      </c>
      <c r="F131">
        <f>YEAR(B131)</f>
        <v>2024</v>
      </c>
      <c r="G131" t="s">
        <v>497</v>
      </c>
      <c r="H131" t="s">
        <v>47</v>
      </c>
      <c r="I131" t="s">
        <v>37</v>
      </c>
      <c r="J131" t="s">
        <v>63</v>
      </c>
      <c r="K131" t="s">
        <v>190</v>
      </c>
      <c r="L131" t="s">
        <v>191</v>
      </c>
      <c r="M131" t="s">
        <v>28</v>
      </c>
      <c r="N131" t="s">
        <v>153</v>
      </c>
      <c r="O131" t="s">
        <v>498</v>
      </c>
      <c r="P131" t="s">
        <v>59</v>
      </c>
      <c r="Q131">
        <v>7</v>
      </c>
      <c r="R131">
        <v>2741.29</v>
      </c>
      <c r="S131">
        <v>0.05</v>
      </c>
      <c r="T131" s="12">
        <f>S131</f>
        <v>0.05</v>
      </c>
      <c r="U131">
        <v>18229.580000000002</v>
      </c>
      <c r="V131">
        <f>Q131*R131*(1-S131)</f>
        <v>18229.5785</v>
      </c>
      <c r="W131">
        <v>15139.15</v>
      </c>
      <c r="X131">
        <v>3090.43</v>
      </c>
      <c r="Y131">
        <f>V131-W131</f>
        <v>3090.4285</v>
      </c>
      <c r="Z131" s="12">
        <f>Y131/V131</f>
        <v>0.16952824773211295</v>
      </c>
      <c r="AA131" t="s">
        <v>32</v>
      </c>
      <c r="AB131" t="s">
        <v>33</v>
      </c>
      <c r="AC131" s="14" t="s">
        <v>2794</v>
      </c>
      <c r="AD131" t="s">
        <v>2782</v>
      </c>
      <c r="AE131" t="str">
        <f>PROPER(TRIM(AB131))</f>
        <v>Completed</v>
      </c>
      <c r="AS131" t="str">
        <f t="shared" ref="AS131:AS194" si="4">PROPER(TRIM(AD131))</f>
        <v/>
      </c>
    </row>
    <row r="132" spans="1:45">
      <c r="A132" t="s">
        <v>499</v>
      </c>
      <c r="B132" s="7">
        <v>45318</v>
      </c>
      <c r="C132" s="4">
        <v>45324</v>
      </c>
      <c r="D132">
        <f>C132-B132</f>
        <v>6</v>
      </c>
      <c r="E132" t="str">
        <f>TEXT(B132,"mmmm")</f>
        <v>January</v>
      </c>
      <c r="F132">
        <f>YEAR(B132)</f>
        <v>2024</v>
      </c>
      <c r="G132" t="s">
        <v>500</v>
      </c>
      <c r="H132" t="s">
        <v>53</v>
      </c>
      <c r="I132" t="s">
        <v>24</v>
      </c>
      <c r="J132" t="s">
        <v>63</v>
      </c>
      <c r="K132" t="s">
        <v>180</v>
      </c>
      <c r="L132" t="s">
        <v>181</v>
      </c>
      <c r="M132" t="s">
        <v>28</v>
      </c>
      <c r="N132" t="s">
        <v>91</v>
      </c>
      <c r="O132" t="s">
        <v>501</v>
      </c>
      <c r="P132" t="s">
        <v>44</v>
      </c>
      <c r="Q132">
        <v>5</v>
      </c>
      <c r="R132">
        <v>218.42</v>
      </c>
      <c r="S132">
        <v>0.2</v>
      </c>
      <c r="T132" s="12">
        <f>S132</f>
        <v>0.2</v>
      </c>
      <c r="U132">
        <v>873.68</v>
      </c>
      <c r="V132">
        <f>Q132*R132*(1-S132)</f>
        <v>873.68</v>
      </c>
      <c r="W132">
        <v>661.72</v>
      </c>
      <c r="X132">
        <v>211.96</v>
      </c>
      <c r="Y132">
        <f>V132-W132</f>
        <v>211.95999999999992</v>
      </c>
      <c r="Z132" s="12">
        <f>Y132/V132</f>
        <v>0.24260598846259493</v>
      </c>
      <c r="AA132" t="s">
        <v>111</v>
      </c>
      <c r="AB132" t="s">
        <v>68</v>
      </c>
      <c r="AC132" s="14" t="s">
        <v>2794</v>
      </c>
      <c r="AD132" t="s">
        <v>2782</v>
      </c>
      <c r="AE132" t="str">
        <f>PROPER(TRIM(AB132))</f>
        <v>Cancelled</v>
      </c>
      <c r="AS132" t="str">
        <f t="shared" si="4"/>
        <v/>
      </c>
    </row>
    <row r="133" spans="1:45">
      <c r="A133" t="s">
        <v>502</v>
      </c>
      <c r="B133" s="7">
        <v>45929</v>
      </c>
      <c r="C133" s="4">
        <v>45934</v>
      </c>
      <c r="D133">
        <f>C133-B133</f>
        <v>5</v>
      </c>
      <c r="E133" t="str">
        <f>TEXT(B133,"mmmm")</f>
        <v>September</v>
      </c>
      <c r="F133">
        <f>YEAR(B133)</f>
        <v>2025</v>
      </c>
      <c r="G133" t="s">
        <v>503</v>
      </c>
      <c r="H133" t="s">
        <v>62</v>
      </c>
      <c r="I133" t="s">
        <v>95</v>
      </c>
      <c r="J133" t="s">
        <v>38</v>
      </c>
      <c r="K133" t="s">
        <v>228</v>
      </c>
      <c r="L133" t="s">
        <v>229</v>
      </c>
      <c r="M133" t="s">
        <v>28</v>
      </c>
      <c r="N133" t="s">
        <v>29</v>
      </c>
      <c r="O133" t="s">
        <v>504</v>
      </c>
      <c r="P133" t="s">
        <v>44</v>
      </c>
      <c r="Q133">
        <v>9</v>
      </c>
      <c r="R133">
        <v>373.91</v>
      </c>
      <c r="S133">
        <v>0.2</v>
      </c>
      <c r="T133" s="12">
        <f>S133</f>
        <v>0.2</v>
      </c>
      <c r="U133">
        <v>2692.15</v>
      </c>
      <c r="V133">
        <f>Q133*R133*(1-S133)</f>
        <v>2692.152</v>
      </c>
      <c r="W133">
        <v>2044.49</v>
      </c>
      <c r="X133">
        <v>647.66</v>
      </c>
      <c r="Y133">
        <f>V133-W133</f>
        <v>647.66200000000003</v>
      </c>
      <c r="Z133" s="12">
        <f>Y133/V133</f>
        <v>0.24057408348414205</v>
      </c>
      <c r="AA133" t="s">
        <v>32</v>
      </c>
      <c r="AB133" t="s">
        <v>33</v>
      </c>
      <c r="AC133" s="14" t="s">
        <v>2794</v>
      </c>
      <c r="AD133" t="s">
        <v>2782</v>
      </c>
      <c r="AE133" t="str">
        <f>PROPER(TRIM(AB133))</f>
        <v>Completed</v>
      </c>
      <c r="AS133" t="str">
        <f t="shared" si="4"/>
        <v/>
      </c>
    </row>
    <row r="134" spans="1:45">
      <c r="A134" t="s">
        <v>505</v>
      </c>
      <c r="B134" s="7">
        <v>45600</v>
      </c>
      <c r="C134" s="4">
        <v>45600</v>
      </c>
      <c r="D134">
        <f>C134-B134</f>
        <v>0</v>
      </c>
      <c r="E134" t="str">
        <f>TEXT(B134,"mmmm")</f>
        <v>November</v>
      </c>
      <c r="F134">
        <f>YEAR(B134)</f>
        <v>2024</v>
      </c>
      <c r="G134" t="s">
        <v>506</v>
      </c>
      <c r="H134" t="s">
        <v>264</v>
      </c>
      <c r="I134" t="s">
        <v>90</v>
      </c>
      <c r="J134" t="s">
        <v>38</v>
      </c>
      <c r="K134" t="s">
        <v>166</v>
      </c>
      <c r="L134" t="s">
        <v>167</v>
      </c>
      <c r="M134" t="s">
        <v>74</v>
      </c>
      <c r="N134" t="s">
        <v>274</v>
      </c>
      <c r="O134" t="s">
        <v>507</v>
      </c>
      <c r="P134" t="s">
        <v>50</v>
      </c>
      <c r="Q134">
        <v>2</v>
      </c>
      <c r="R134">
        <v>533.08000000000004</v>
      </c>
      <c r="S134">
        <v>0</v>
      </c>
      <c r="T134" s="12">
        <f>S134</f>
        <v>0</v>
      </c>
      <c r="U134">
        <v>1066.1600000000001</v>
      </c>
      <c r="V134">
        <f>Q134*R134*(1-S134)</f>
        <v>1066.1600000000001</v>
      </c>
      <c r="W134">
        <v>656.3</v>
      </c>
      <c r="X134">
        <v>409.86</v>
      </c>
      <c r="Y134">
        <f>V134-W134</f>
        <v>409.86000000000013</v>
      </c>
      <c r="Z134" s="12">
        <f>Y134/V134</f>
        <v>0.38442635251744589</v>
      </c>
      <c r="AA134" t="s">
        <v>155</v>
      </c>
      <c r="AB134" t="s">
        <v>68</v>
      </c>
      <c r="AC134" s="14" t="s">
        <v>2794</v>
      </c>
      <c r="AD134" t="s">
        <v>2782</v>
      </c>
      <c r="AE134" t="str">
        <f>PROPER(TRIM(AB134))</f>
        <v>Cancelled</v>
      </c>
      <c r="AS134" t="str">
        <f t="shared" si="4"/>
        <v/>
      </c>
    </row>
    <row r="135" spans="1:45">
      <c r="A135" t="s">
        <v>508</v>
      </c>
      <c r="B135" s="7">
        <v>45639</v>
      </c>
      <c r="C135" s="4">
        <v>45644</v>
      </c>
      <c r="D135">
        <f>C135-B135</f>
        <v>5</v>
      </c>
      <c r="E135" t="str">
        <f>TEXT(B135,"mmmm")</f>
        <v>December</v>
      </c>
      <c r="F135">
        <f>YEAR(B135)</f>
        <v>2024</v>
      </c>
      <c r="G135" t="s">
        <v>509</v>
      </c>
      <c r="H135" t="s">
        <v>23</v>
      </c>
      <c r="I135" t="s">
        <v>24</v>
      </c>
      <c r="J135" t="s">
        <v>63</v>
      </c>
      <c r="K135" t="s">
        <v>190</v>
      </c>
      <c r="L135" t="s">
        <v>191</v>
      </c>
      <c r="M135" t="s">
        <v>74</v>
      </c>
      <c r="N135" t="s">
        <v>171</v>
      </c>
      <c r="O135" t="s">
        <v>510</v>
      </c>
      <c r="P135" t="s">
        <v>31</v>
      </c>
      <c r="Q135">
        <v>8</v>
      </c>
      <c r="R135">
        <v>3372.15</v>
      </c>
      <c r="S135">
        <v>0.15</v>
      </c>
      <c r="T135" s="12">
        <f>S135</f>
        <v>0.15</v>
      </c>
      <c r="U135">
        <v>22930.62</v>
      </c>
      <c r="V135">
        <f>Q135*R135*(1-S135)</f>
        <v>22930.62</v>
      </c>
      <c r="W135">
        <v>16875.55</v>
      </c>
      <c r="X135">
        <v>6055.07</v>
      </c>
      <c r="Y135">
        <f>V135-W135</f>
        <v>6055.07</v>
      </c>
      <c r="Z135" s="12">
        <f>Y135/V135</f>
        <v>0.26406045715292475</v>
      </c>
      <c r="AA135" t="s">
        <v>32</v>
      </c>
      <c r="AB135" t="s">
        <v>33</v>
      </c>
      <c r="AC135" s="14" t="s">
        <v>2794</v>
      </c>
      <c r="AD135" t="s">
        <v>2782</v>
      </c>
      <c r="AE135" t="str">
        <f>PROPER(TRIM(AB135))</f>
        <v>Completed</v>
      </c>
      <c r="AS135" t="str">
        <f t="shared" si="4"/>
        <v/>
      </c>
    </row>
    <row r="136" spans="1:45">
      <c r="A136" t="s">
        <v>511</v>
      </c>
      <c r="B136" s="7">
        <v>45852</v>
      </c>
      <c r="C136" s="4">
        <v>45852</v>
      </c>
      <c r="D136">
        <f>C136-B136</f>
        <v>0</v>
      </c>
      <c r="E136" t="str">
        <f>TEXT(B136,"mmmm")</f>
        <v>July</v>
      </c>
      <c r="F136">
        <f>YEAR(B136)</f>
        <v>2025</v>
      </c>
      <c r="G136" t="s">
        <v>512</v>
      </c>
      <c r="H136" t="s">
        <v>71</v>
      </c>
      <c r="I136" t="s">
        <v>95</v>
      </c>
      <c r="J136" t="s">
        <v>38</v>
      </c>
      <c r="K136" t="s">
        <v>99</v>
      </c>
      <c r="L136" t="s">
        <v>100</v>
      </c>
      <c r="M136" t="s">
        <v>41</v>
      </c>
      <c r="N136" t="s">
        <v>158</v>
      </c>
      <c r="O136" t="s">
        <v>513</v>
      </c>
      <c r="P136" t="s">
        <v>2783</v>
      </c>
      <c r="Q136">
        <v>5</v>
      </c>
      <c r="R136">
        <v>383.1</v>
      </c>
      <c r="S136">
        <v>0.25</v>
      </c>
      <c r="T136" s="12">
        <f>S136</f>
        <v>0.25</v>
      </c>
      <c r="U136">
        <v>1436.62</v>
      </c>
      <c r="V136">
        <f>Q136*R136*(1-S136)</f>
        <v>1436.625</v>
      </c>
      <c r="W136">
        <v>912.52</v>
      </c>
      <c r="X136">
        <v>524.1</v>
      </c>
      <c r="Y136">
        <f>V136-W136</f>
        <v>524.10500000000002</v>
      </c>
      <c r="Z136" s="12">
        <f>Y136/V136</f>
        <v>0.36481684503610895</v>
      </c>
      <c r="AA136" t="s">
        <v>111</v>
      </c>
      <c r="AB136" t="s">
        <v>68</v>
      </c>
      <c r="AC136" s="10" t="s">
        <v>2795</v>
      </c>
      <c r="AD136" t="s">
        <v>2782</v>
      </c>
      <c r="AE136" t="str">
        <f>PROPER(TRIM(AB136))</f>
        <v>Cancelled</v>
      </c>
      <c r="AS136" t="str">
        <f t="shared" si="4"/>
        <v/>
      </c>
    </row>
    <row r="137" spans="1:45">
      <c r="A137" t="s">
        <v>514</v>
      </c>
      <c r="B137" s="7">
        <v>45893</v>
      </c>
      <c r="C137" s="4">
        <v>45893</v>
      </c>
      <c r="D137">
        <f>C137-B137</f>
        <v>0</v>
      </c>
      <c r="E137" t="str">
        <f>TEXT(B137,"mmmm")</f>
        <v>August</v>
      </c>
      <c r="F137">
        <f>YEAR(B137)</f>
        <v>2025</v>
      </c>
      <c r="G137" t="s">
        <v>515</v>
      </c>
      <c r="H137" t="s">
        <v>162</v>
      </c>
      <c r="I137" t="s">
        <v>37</v>
      </c>
      <c r="J137" t="s">
        <v>54</v>
      </c>
      <c r="K137" t="s">
        <v>185</v>
      </c>
      <c r="L137" t="s">
        <v>186</v>
      </c>
      <c r="M137" t="s">
        <v>41</v>
      </c>
      <c r="N137" t="s">
        <v>158</v>
      </c>
      <c r="O137" t="s">
        <v>516</v>
      </c>
      <c r="P137" t="s">
        <v>59</v>
      </c>
      <c r="Q137">
        <v>1</v>
      </c>
      <c r="R137">
        <v>3424.78</v>
      </c>
      <c r="S137">
        <v>0</v>
      </c>
      <c r="T137" s="12">
        <f>S137</f>
        <v>0</v>
      </c>
      <c r="U137">
        <v>3424.78</v>
      </c>
      <c r="V137">
        <f>Q137*R137*(1-S137)</f>
        <v>3424.78</v>
      </c>
      <c r="W137">
        <v>1951.45</v>
      </c>
      <c r="X137">
        <v>1473.33</v>
      </c>
      <c r="Y137">
        <f>V137-W137</f>
        <v>1473.3300000000002</v>
      </c>
      <c r="Z137" s="12">
        <f>Y137/V137</f>
        <v>0.43019697615613267</v>
      </c>
      <c r="AA137" t="s">
        <v>32</v>
      </c>
      <c r="AB137" t="s">
        <v>33</v>
      </c>
      <c r="AC137" s="14" t="s">
        <v>2794</v>
      </c>
      <c r="AD137" t="s">
        <v>2782</v>
      </c>
      <c r="AE137" t="str">
        <f>PROPER(TRIM(AB137))</f>
        <v>Completed</v>
      </c>
      <c r="AS137" t="str">
        <f t="shared" si="4"/>
        <v/>
      </c>
    </row>
    <row r="138" spans="1:45">
      <c r="A138" t="s">
        <v>517</v>
      </c>
      <c r="B138" s="7">
        <v>45697</v>
      </c>
      <c r="C138" s="4">
        <v>45703</v>
      </c>
      <c r="D138">
        <f>C138-B138</f>
        <v>6</v>
      </c>
      <c r="E138" t="str">
        <f>TEXT(B138,"mmmm")</f>
        <v>February</v>
      </c>
      <c r="F138">
        <f>YEAR(B138)</f>
        <v>2025</v>
      </c>
      <c r="G138" t="s">
        <v>518</v>
      </c>
      <c r="H138" t="s">
        <v>36</v>
      </c>
      <c r="I138" t="s">
        <v>95</v>
      </c>
      <c r="J138" t="s">
        <v>38</v>
      </c>
      <c r="K138" t="s">
        <v>228</v>
      </c>
      <c r="L138" t="s">
        <v>229</v>
      </c>
      <c r="M138" t="s">
        <v>28</v>
      </c>
      <c r="N138" t="s">
        <v>153</v>
      </c>
      <c r="O138" t="s">
        <v>519</v>
      </c>
      <c r="P138" t="s">
        <v>59</v>
      </c>
      <c r="Q138">
        <v>9</v>
      </c>
      <c r="R138">
        <v>4330.33</v>
      </c>
      <c r="S138">
        <v>0.2</v>
      </c>
      <c r="T138" s="12">
        <f>S138</f>
        <v>0.2</v>
      </c>
      <c r="U138">
        <v>31178.38</v>
      </c>
      <c r="V138">
        <f>Q138*R138*(1-S138)</f>
        <v>31178.376000000004</v>
      </c>
      <c r="W138">
        <v>21421.09</v>
      </c>
      <c r="X138">
        <v>9757.2900000000009</v>
      </c>
      <c r="Y138">
        <f>V138-W138</f>
        <v>9757.2860000000037</v>
      </c>
      <c r="Z138" s="12">
        <f>Y138/V138</f>
        <v>0.31295042435821552</v>
      </c>
      <c r="AA138" t="s">
        <v>32</v>
      </c>
      <c r="AB138" t="s">
        <v>33</v>
      </c>
      <c r="AC138" s="14" t="s">
        <v>2794</v>
      </c>
      <c r="AD138" t="s">
        <v>2782</v>
      </c>
      <c r="AE138" t="str">
        <f>PROPER(TRIM(AB138))</f>
        <v>Completed</v>
      </c>
      <c r="AS138" t="str">
        <f t="shared" si="4"/>
        <v/>
      </c>
    </row>
    <row r="139" spans="1:45">
      <c r="A139" t="s">
        <v>520</v>
      </c>
      <c r="B139" s="7">
        <v>45901</v>
      </c>
      <c r="C139" s="4">
        <v>45666</v>
      </c>
      <c r="D139" s="10">
        <f>C139-B139</f>
        <v>-235</v>
      </c>
      <c r="E139" t="str">
        <f>TEXT(B139,"mmmm")</f>
        <v>September</v>
      </c>
      <c r="F139">
        <f>YEAR(B139)</f>
        <v>2025</v>
      </c>
      <c r="G139" t="s">
        <v>521</v>
      </c>
      <c r="H139" t="s">
        <v>132</v>
      </c>
      <c r="I139" t="s">
        <v>37</v>
      </c>
      <c r="J139" t="s">
        <v>25</v>
      </c>
      <c r="K139" t="s">
        <v>26</v>
      </c>
      <c r="L139" t="s">
        <v>27</v>
      </c>
      <c r="M139" t="s">
        <v>41</v>
      </c>
      <c r="N139" t="s">
        <v>66</v>
      </c>
      <c r="O139" t="s">
        <v>522</v>
      </c>
      <c r="P139" t="s">
        <v>44</v>
      </c>
      <c r="Q139">
        <v>8</v>
      </c>
      <c r="R139">
        <v>2667.07</v>
      </c>
      <c r="S139">
        <v>0.1</v>
      </c>
      <c r="T139" s="12">
        <f>S139</f>
        <v>0.1</v>
      </c>
      <c r="U139">
        <v>19202.900000000001</v>
      </c>
      <c r="V139">
        <f>Q139*R139*(1-S139)</f>
        <v>19202.904000000002</v>
      </c>
      <c r="W139">
        <v>15526.62</v>
      </c>
      <c r="X139">
        <v>3676.28</v>
      </c>
      <c r="Y139">
        <f>V139-W139</f>
        <v>3676.2840000000015</v>
      </c>
      <c r="Z139" s="12">
        <f>Y139/V139</f>
        <v>0.19144416906942829</v>
      </c>
      <c r="AA139" t="s">
        <v>32</v>
      </c>
      <c r="AB139" t="s">
        <v>33</v>
      </c>
      <c r="AC139" s="10" t="s">
        <v>2792</v>
      </c>
      <c r="AD139" t="s">
        <v>2782</v>
      </c>
      <c r="AE139" t="str">
        <f>PROPER(TRIM(AB139))</f>
        <v>Completed</v>
      </c>
      <c r="AS139" t="str">
        <f t="shared" si="4"/>
        <v/>
      </c>
    </row>
    <row r="140" spans="1:45">
      <c r="A140" t="s">
        <v>523</v>
      </c>
      <c r="B140" s="7">
        <v>45311</v>
      </c>
      <c r="C140" s="4">
        <v>45317</v>
      </c>
      <c r="D140">
        <f>C140-B140</f>
        <v>6</v>
      </c>
      <c r="E140" t="str">
        <f>TEXT(B140,"mmmm")</f>
        <v>January</v>
      </c>
      <c r="F140">
        <f>YEAR(B140)</f>
        <v>2024</v>
      </c>
      <c r="G140" t="s">
        <v>524</v>
      </c>
      <c r="H140" t="s">
        <v>162</v>
      </c>
      <c r="I140" t="s">
        <v>95</v>
      </c>
      <c r="J140" t="s">
        <v>38</v>
      </c>
      <c r="K140" t="s">
        <v>228</v>
      </c>
      <c r="L140" t="s">
        <v>229</v>
      </c>
      <c r="M140" t="s">
        <v>74</v>
      </c>
      <c r="N140" t="s">
        <v>274</v>
      </c>
      <c r="O140" t="s">
        <v>525</v>
      </c>
      <c r="P140" t="s">
        <v>59</v>
      </c>
      <c r="Q140">
        <v>8</v>
      </c>
      <c r="R140">
        <v>4003.05</v>
      </c>
      <c r="S140">
        <v>0.25</v>
      </c>
      <c r="T140" s="12">
        <f>S140</f>
        <v>0.25</v>
      </c>
      <c r="U140">
        <v>24018.3</v>
      </c>
      <c r="V140">
        <f>Q140*R140*(1-S140)</f>
        <v>24018.300000000003</v>
      </c>
      <c r="W140">
        <v>14070.78</v>
      </c>
      <c r="X140">
        <v>9947.52</v>
      </c>
      <c r="Y140">
        <f>V140-W140</f>
        <v>9947.5200000000023</v>
      </c>
      <c r="Z140" s="12">
        <f>Y140/V140</f>
        <v>0.41416419979765434</v>
      </c>
      <c r="AA140" t="s">
        <v>32</v>
      </c>
      <c r="AB140" t="s">
        <v>33</v>
      </c>
      <c r="AC140" s="14" t="s">
        <v>2794</v>
      </c>
      <c r="AD140" t="s">
        <v>2782</v>
      </c>
      <c r="AE140" t="str">
        <f>PROPER(TRIM(AB140))</f>
        <v>Completed</v>
      </c>
      <c r="AS140" t="str">
        <f t="shared" si="4"/>
        <v/>
      </c>
    </row>
    <row r="141" spans="1:45">
      <c r="A141" t="s">
        <v>526</v>
      </c>
      <c r="B141" s="7">
        <v>45691</v>
      </c>
      <c r="C141" s="4">
        <v>45723</v>
      </c>
      <c r="D141">
        <f>C141-B141</f>
        <v>32</v>
      </c>
      <c r="E141" t="str">
        <f>TEXT(B141,"mmmm")</f>
        <v>February</v>
      </c>
      <c r="F141">
        <f>YEAR(B141)</f>
        <v>2025</v>
      </c>
      <c r="G141" t="s">
        <v>527</v>
      </c>
      <c r="H141" t="s">
        <v>79</v>
      </c>
      <c r="I141" t="s">
        <v>95</v>
      </c>
      <c r="J141" t="s">
        <v>54</v>
      </c>
      <c r="K141" t="s">
        <v>175</v>
      </c>
      <c r="L141" t="s">
        <v>176</v>
      </c>
      <c r="M141" t="s">
        <v>28</v>
      </c>
      <c r="N141" t="s">
        <v>91</v>
      </c>
      <c r="O141" t="s">
        <v>528</v>
      </c>
      <c r="P141" t="s">
        <v>59</v>
      </c>
      <c r="Q141">
        <v>8</v>
      </c>
      <c r="R141">
        <v>1287.6300000000001</v>
      </c>
      <c r="S141">
        <v>0</v>
      </c>
      <c r="T141" s="12">
        <f>S141</f>
        <v>0</v>
      </c>
      <c r="U141">
        <v>10301.040000000001</v>
      </c>
      <c r="V141">
        <f>Q141*R141*(1-S141)</f>
        <v>10301.040000000001</v>
      </c>
      <c r="W141">
        <v>6564.06</v>
      </c>
      <c r="X141">
        <v>3736.98</v>
      </c>
      <c r="Y141">
        <f>V141-W141</f>
        <v>3736.9800000000005</v>
      </c>
      <c r="Z141" s="12">
        <f>Y141/V141</f>
        <v>0.3627769623261341</v>
      </c>
      <c r="AA141" t="s">
        <v>32</v>
      </c>
      <c r="AB141" t="s">
        <v>33</v>
      </c>
      <c r="AC141" s="14" t="s">
        <v>2794</v>
      </c>
      <c r="AD141" t="s">
        <v>2782</v>
      </c>
      <c r="AE141" t="str">
        <f>PROPER(TRIM(AB141))</f>
        <v>Completed</v>
      </c>
      <c r="AS141" t="str">
        <f t="shared" si="4"/>
        <v/>
      </c>
    </row>
    <row r="142" spans="1:45">
      <c r="A142" t="s">
        <v>529</v>
      </c>
      <c r="B142" s="7">
        <v>45443</v>
      </c>
      <c r="C142" s="4">
        <v>45444</v>
      </c>
      <c r="D142">
        <f>C142-B142</f>
        <v>1</v>
      </c>
      <c r="E142" t="str">
        <f>TEXT(B142,"mmmm")</f>
        <v>May</v>
      </c>
      <c r="F142">
        <f>YEAR(B142)</f>
        <v>2024</v>
      </c>
      <c r="G142" t="s">
        <v>530</v>
      </c>
      <c r="H142" t="s">
        <v>36</v>
      </c>
      <c r="I142" t="s">
        <v>90</v>
      </c>
      <c r="J142" t="s">
        <v>54</v>
      </c>
      <c r="K142" t="s">
        <v>175</v>
      </c>
      <c r="L142" t="s">
        <v>176</v>
      </c>
      <c r="M142" t="s">
        <v>41</v>
      </c>
      <c r="N142" t="s">
        <v>158</v>
      </c>
      <c r="O142" t="s">
        <v>531</v>
      </c>
      <c r="P142" t="s">
        <v>44</v>
      </c>
      <c r="Q142">
        <v>3</v>
      </c>
      <c r="R142">
        <v>2914.55</v>
      </c>
      <c r="S142">
        <v>0</v>
      </c>
      <c r="T142" s="12">
        <f>S142</f>
        <v>0</v>
      </c>
      <c r="U142">
        <v>8743.65</v>
      </c>
      <c r="V142">
        <f>Q142*R142*(1-S142)</f>
        <v>8743.6500000000015</v>
      </c>
      <c r="W142">
        <v>6603.76</v>
      </c>
      <c r="X142">
        <v>2139.89</v>
      </c>
      <c r="Y142">
        <f>V142-W142</f>
        <v>2139.8900000000012</v>
      </c>
      <c r="Z142" s="12">
        <f>Y142/V142</f>
        <v>0.24473646589239059</v>
      </c>
      <c r="AA142" t="s">
        <v>32</v>
      </c>
      <c r="AB142" t="s">
        <v>33</v>
      </c>
      <c r="AC142" s="14" t="s">
        <v>2794</v>
      </c>
      <c r="AD142" t="s">
        <v>2782</v>
      </c>
      <c r="AE142" t="str">
        <f>PROPER(TRIM(AB142))</f>
        <v>Completed</v>
      </c>
      <c r="AS142" t="str">
        <f t="shared" si="4"/>
        <v/>
      </c>
    </row>
    <row r="143" spans="1:45">
      <c r="A143" t="s">
        <v>532</v>
      </c>
      <c r="B143" s="7">
        <v>45374</v>
      </c>
      <c r="C143" s="4">
        <v>45380</v>
      </c>
      <c r="D143">
        <f>C143-B143</f>
        <v>6</v>
      </c>
      <c r="E143" t="str">
        <f>TEXT(B143,"mmmm")</f>
        <v>March</v>
      </c>
      <c r="F143">
        <f>YEAR(B143)</f>
        <v>2024</v>
      </c>
      <c r="G143" t="s">
        <v>533</v>
      </c>
      <c r="H143" t="s">
        <v>114</v>
      </c>
      <c r="I143" t="s">
        <v>90</v>
      </c>
      <c r="J143" t="s">
        <v>25</v>
      </c>
      <c r="K143" t="s">
        <v>350</v>
      </c>
      <c r="L143" t="s">
        <v>351</v>
      </c>
      <c r="M143" t="s">
        <v>41</v>
      </c>
      <c r="N143" t="s">
        <v>158</v>
      </c>
      <c r="O143" t="s">
        <v>534</v>
      </c>
      <c r="P143" t="s">
        <v>44</v>
      </c>
      <c r="Q143">
        <v>7</v>
      </c>
      <c r="R143">
        <v>634.29</v>
      </c>
      <c r="S143">
        <v>0.1</v>
      </c>
      <c r="T143" s="12">
        <f>S143</f>
        <v>0.1</v>
      </c>
      <c r="U143">
        <v>3996.03</v>
      </c>
      <c r="V143">
        <f>Q143*R143*(1-S143)</f>
        <v>3996.027</v>
      </c>
      <c r="W143">
        <v>2859.51</v>
      </c>
      <c r="X143">
        <v>1136.52</v>
      </c>
      <c r="Y143">
        <f>V143-W143</f>
        <v>1136.5169999999998</v>
      </c>
      <c r="Z143" s="12">
        <f>Y143/V143</f>
        <v>0.28441174196270441</v>
      </c>
      <c r="AA143" t="s">
        <v>32</v>
      </c>
      <c r="AB143" t="s">
        <v>103</v>
      </c>
      <c r="AC143" s="14" t="s">
        <v>2794</v>
      </c>
      <c r="AD143" t="s">
        <v>2782</v>
      </c>
      <c r="AE143" t="str">
        <f>PROPER(TRIM(AB143))</f>
        <v>Returned</v>
      </c>
      <c r="AS143" t="str">
        <f t="shared" si="4"/>
        <v/>
      </c>
    </row>
    <row r="144" spans="1:45">
      <c r="A144" t="s">
        <v>535</v>
      </c>
      <c r="B144" s="7">
        <v>45381</v>
      </c>
      <c r="C144" s="4">
        <v>45377</v>
      </c>
      <c r="D144" s="10">
        <f>C144-B144</f>
        <v>-4</v>
      </c>
      <c r="E144" t="str">
        <f>TEXT(B144,"mmmm")</f>
        <v>March</v>
      </c>
      <c r="F144">
        <f>YEAR(B144)</f>
        <v>2024</v>
      </c>
      <c r="G144" t="s">
        <v>536</v>
      </c>
      <c r="H144" t="s">
        <v>89</v>
      </c>
      <c r="I144" t="s">
        <v>95</v>
      </c>
      <c r="J144" t="s">
        <v>25</v>
      </c>
      <c r="K144" t="s">
        <v>26</v>
      </c>
      <c r="L144" t="s">
        <v>27</v>
      </c>
      <c r="M144" t="s">
        <v>74</v>
      </c>
      <c r="N144" t="s">
        <v>171</v>
      </c>
      <c r="O144" t="s">
        <v>537</v>
      </c>
      <c r="P144" t="s">
        <v>31</v>
      </c>
      <c r="Q144">
        <v>5</v>
      </c>
      <c r="R144">
        <v>907.54</v>
      </c>
      <c r="S144">
        <v>0.15</v>
      </c>
      <c r="T144" s="12">
        <f>S144</f>
        <v>0.15</v>
      </c>
      <c r="U144">
        <v>3857.04</v>
      </c>
      <c r="V144">
        <f>Q144*R144*(1-S144)</f>
        <v>3857.0449999999996</v>
      </c>
      <c r="W144">
        <v>2769.26</v>
      </c>
      <c r="X144">
        <v>1087.78</v>
      </c>
      <c r="Y144">
        <f>V144-W144</f>
        <v>1087.7849999999994</v>
      </c>
      <c r="Z144" s="12">
        <f>Y144/V144</f>
        <v>0.28202548842442843</v>
      </c>
      <c r="AA144" t="s">
        <v>32</v>
      </c>
      <c r="AB144" t="s">
        <v>33</v>
      </c>
      <c r="AC144" s="10" t="s">
        <v>2792</v>
      </c>
      <c r="AD144" t="s">
        <v>2782</v>
      </c>
      <c r="AE144" t="str">
        <f>PROPER(TRIM(AB144))</f>
        <v>Completed</v>
      </c>
      <c r="AS144" t="str">
        <f t="shared" si="4"/>
        <v/>
      </c>
    </row>
    <row r="145" spans="1:45">
      <c r="A145" t="s">
        <v>538</v>
      </c>
      <c r="B145" s="7">
        <v>45375</v>
      </c>
      <c r="C145" s="4">
        <v>45377</v>
      </c>
      <c r="D145">
        <f>C145-B145</f>
        <v>2</v>
      </c>
      <c r="E145" t="str">
        <f>TEXT(B145,"mmmm")</f>
        <v>March</v>
      </c>
      <c r="F145">
        <f>YEAR(B145)</f>
        <v>2024</v>
      </c>
      <c r="G145" t="s">
        <v>539</v>
      </c>
      <c r="H145" t="s">
        <v>114</v>
      </c>
      <c r="I145" t="s">
        <v>24</v>
      </c>
      <c r="J145" t="s">
        <v>63</v>
      </c>
      <c r="K145" t="s">
        <v>180</v>
      </c>
      <c r="L145" t="s">
        <v>181</v>
      </c>
      <c r="M145" t="s">
        <v>28</v>
      </c>
      <c r="N145" t="s">
        <v>29</v>
      </c>
      <c r="O145" t="s">
        <v>540</v>
      </c>
      <c r="P145" t="s">
        <v>31</v>
      </c>
      <c r="Q145">
        <v>1</v>
      </c>
      <c r="R145">
        <v>3409.5</v>
      </c>
      <c r="S145">
        <v>0.1</v>
      </c>
      <c r="T145" s="12">
        <f>S145</f>
        <v>0.1</v>
      </c>
      <c r="U145">
        <v>3068.55</v>
      </c>
      <c r="V145">
        <f>Q145*R145*(1-S145)</f>
        <v>3068.55</v>
      </c>
      <c r="W145">
        <v>1916.16</v>
      </c>
      <c r="X145">
        <v>1152.3900000000001</v>
      </c>
      <c r="Y145">
        <f>V145-W145</f>
        <v>1152.3900000000001</v>
      </c>
      <c r="Z145" s="12">
        <f>Y145/V145</f>
        <v>0.3755487119323459</v>
      </c>
      <c r="AA145" t="s">
        <v>32</v>
      </c>
      <c r="AB145" t="s">
        <v>103</v>
      </c>
      <c r="AC145" s="14" t="s">
        <v>2794</v>
      </c>
      <c r="AD145" t="s">
        <v>2782</v>
      </c>
      <c r="AE145" t="str">
        <f>PROPER(TRIM(AB145))</f>
        <v>Returned</v>
      </c>
      <c r="AS145" t="str">
        <f t="shared" si="4"/>
        <v/>
      </c>
    </row>
    <row r="146" spans="1:45">
      <c r="A146" t="s">
        <v>541</v>
      </c>
      <c r="B146" s="7">
        <v>45450</v>
      </c>
      <c r="C146" s="4">
        <v>45458</v>
      </c>
      <c r="D146">
        <f>C146-B146</f>
        <v>8</v>
      </c>
      <c r="E146" t="str">
        <f>TEXT(B146,"mmmm")</f>
        <v>June</v>
      </c>
      <c r="F146">
        <f>YEAR(B146)</f>
        <v>2024</v>
      </c>
      <c r="G146" t="s">
        <v>542</v>
      </c>
      <c r="H146" t="s">
        <v>264</v>
      </c>
      <c r="I146" t="s">
        <v>37</v>
      </c>
      <c r="J146" t="s">
        <v>54</v>
      </c>
      <c r="K146" t="s">
        <v>55</v>
      </c>
      <c r="L146" t="s">
        <v>56</v>
      </c>
      <c r="M146" t="s">
        <v>74</v>
      </c>
      <c r="N146" t="s">
        <v>75</v>
      </c>
      <c r="O146" t="s">
        <v>543</v>
      </c>
      <c r="P146" t="s">
        <v>50</v>
      </c>
      <c r="Q146">
        <v>7</v>
      </c>
      <c r="R146">
        <v>2147.9899999999998</v>
      </c>
      <c r="S146">
        <v>0.25</v>
      </c>
      <c r="T146" s="12">
        <f>S146</f>
        <v>0.25</v>
      </c>
      <c r="U146">
        <v>11276.95</v>
      </c>
      <c r="V146">
        <f>Q146*R146*(1-S146)</f>
        <v>11276.947499999998</v>
      </c>
      <c r="W146">
        <v>6908.76</v>
      </c>
      <c r="X146">
        <v>4368.1899999999996</v>
      </c>
      <c r="Y146">
        <f>V146-W146</f>
        <v>4368.1874999999982</v>
      </c>
      <c r="Z146" s="12">
        <f>Y146/V146</f>
        <v>0.38735548782150481</v>
      </c>
      <c r="AA146" t="s">
        <v>102</v>
      </c>
      <c r="AB146" t="s">
        <v>103</v>
      </c>
      <c r="AC146" s="14" t="s">
        <v>2794</v>
      </c>
      <c r="AD146" t="s">
        <v>2782</v>
      </c>
      <c r="AE146" t="str">
        <f>PROPER(TRIM(AB146))</f>
        <v>Returned</v>
      </c>
      <c r="AS146" t="str">
        <f t="shared" si="4"/>
        <v/>
      </c>
    </row>
    <row r="147" spans="1:45">
      <c r="A147" t="s">
        <v>544</v>
      </c>
      <c r="B147" s="7">
        <v>45758</v>
      </c>
      <c r="C147" s="4">
        <v>45760</v>
      </c>
      <c r="D147">
        <f>C147-B147</f>
        <v>2</v>
      </c>
      <c r="E147" t="str">
        <f>TEXT(B147,"mmmm")</f>
        <v>April</v>
      </c>
      <c r="F147">
        <f>YEAR(B147)</f>
        <v>2025</v>
      </c>
      <c r="G147" t="s">
        <v>545</v>
      </c>
      <c r="H147" t="s">
        <v>36</v>
      </c>
      <c r="I147" t="s">
        <v>37</v>
      </c>
      <c r="J147" t="s">
        <v>63</v>
      </c>
      <c r="K147" t="s">
        <v>190</v>
      </c>
      <c r="L147" t="s">
        <v>191</v>
      </c>
      <c r="M147" t="s">
        <v>28</v>
      </c>
      <c r="N147" t="s">
        <v>29</v>
      </c>
      <c r="O147" t="s">
        <v>546</v>
      </c>
      <c r="P147" t="s">
        <v>59</v>
      </c>
      <c r="Q147">
        <v>4</v>
      </c>
      <c r="R147">
        <v>4182.1499999999996</v>
      </c>
      <c r="S147">
        <v>0.1</v>
      </c>
      <c r="T147" s="12">
        <f>S147</f>
        <v>0.1</v>
      </c>
      <c r="U147">
        <v>15055.74</v>
      </c>
      <c r="V147">
        <f>Q147*R147*(1-S147)</f>
        <v>15055.74</v>
      </c>
      <c r="W147">
        <v>9808.83</v>
      </c>
      <c r="X147">
        <v>5246.91</v>
      </c>
      <c r="Y147">
        <f>V147-W147</f>
        <v>5246.91</v>
      </c>
      <c r="Z147" s="12">
        <f>Y147/V147</f>
        <v>0.34849897779850075</v>
      </c>
      <c r="AA147" t="s">
        <v>32</v>
      </c>
      <c r="AB147" t="s">
        <v>33</v>
      </c>
      <c r="AC147" s="14" t="s">
        <v>2794</v>
      </c>
      <c r="AD147" t="s">
        <v>2782</v>
      </c>
      <c r="AE147" t="str">
        <f>PROPER(TRIM(AB147))</f>
        <v>Completed</v>
      </c>
      <c r="AS147" t="str">
        <f t="shared" si="4"/>
        <v/>
      </c>
    </row>
    <row r="148" spans="1:45">
      <c r="A148" t="s">
        <v>547</v>
      </c>
      <c r="B148" s="7">
        <v>45868</v>
      </c>
      <c r="C148" s="4">
        <v>45665</v>
      </c>
      <c r="D148" s="10">
        <f>C148-B148</f>
        <v>-203</v>
      </c>
      <c r="E148" t="str">
        <f>TEXT(B148,"mmmm")</f>
        <v>July</v>
      </c>
      <c r="F148">
        <f>YEAR(B148)</f>
        <v>2025</v>
      </c>
      <c r="G148" t="s">
        <v>548</v>
      </c>
      <c r="H148" t="s">
        <v>132</v>
      </c>
      <c r="I148" t="s">
        <v>37</v>
      </c>
      <c r="J148" t="s">
        <v>54</v>
      </c>
      <c r="K148" t="s">
        <v>247</v>
      </c>
      <c r="L148" t="s">
        <v>248</v>
      </c>
      <c r="M148" t="s">
        <v>28</v>
      </c>
      <c r="N148" t="s">
        <v>124</v>
      </c>
      <c r="O148" t="s">
        <v>549</v>
      </c>
      <c r="P148" t="s">
        <v>44</v>
      </c>
      <c r="Q148">
        <v>9</v>
      </c>
      <c r="R148">
        <v>3165.43</v>
      </c>
      <c r="S148">
        <v>0.1</v>
      </c>
      <c r="T148" s="12">
        <f>S148</f>
        <v>0.1</v>
      </c>
      <c r="U148">
        <v>25639.98</v>
      </c>
      <c r="V148">
        <f>Q148*R148*(1-S148)</f>
        <v>25639.983</v>
      </c>
      <c r="W148">
        <v>21635.08</v>
      </c>
      <c r="X148">
        <v>4004.9</v>
      </c>
      <c r="Y148">
        <f>V148-W148</f>
        <v>4004.9029999999984</v>
      </c>
      <c r="Z148" s="12">
        <f>Y148/V148</f>
        <v>0.1561975684617263</v>
      </c>
      <c r="AA148" t="s">
        <v>32</v>
      </c>
      <c r="AB148" t="s">
        <v>33</v>
      </c>
      <c r="AC148" s="10" t="s">
        <v>2792</v>
      </c>
      <c r="AD148" t="s">
        <v>2782</v>
      </c>
      <c r="AE148" t="str">
        <f>PROPER(TRIM(AB148))</f>
        <v>Completed</v>
      </c>
      <c r="AS148" t="str">
        <f t="shared" si="4"/>
        <v/>
      </c>
    </row>
    <row r="149" spans="1:45">
      <c r="A149" t="s">
        <v>550</v>
      </c>
      <c r="B149" s="7">
        <v>45649</v>
      </c>
      <c r="C149" s="4">
        <v>45656</v>
      </c>
      <c r="D149">
        <f>C149-B149</f>
        <v>7</v>
      </c>
      <c r="E149" t="str">
        <f>TEXT(B149,"mmmm")</f>
        <v>December</v>
      </c>
      <c r="F149">
        <f>YEAR(B149)</f>
        <v>2024</v>
      </c>
      <c r="G149" t="s">
        <v>551</v>
      </c>
      <c r="H149" t="s">
        <v>114</v>
      </c>
      <c r="I149" t="s">
        <v>95</v>
      </c>
      <c r="J149" t="s">
        <v>63</v>
      </c>
      <c r="K149" t="s">
        <v>190</v>
      </c>
      <c r="L149" t="s">
        <v>191</v>
      </c>
      <c r="M149" t="s">
        <v>41</v>
      </c>
      <c r="N149" t="s">
        <v>57</v>
      </c>
      <c r="O149" t="s">
        <v>552</v>
      </c>
      <c r="P149" t="s">
        <v>50</v>
      </c>
      <c r="Q149">
        <v>8</v>
      </c>
      <c r="R149">
        <v>386.1</v>
      </c>
      <c r="S149">
        <v>0.1</v>
      </c>
      <c r="T149" s="12">
        <f>S149</f>
        <v>0.1</v>
      </c>
      <c r="U149">
        <v>2779.92</v>
      </c>
      <c r="V149">
        <f>Q149*R149*(1-S149)</f>
        <v>2779.92</v>
      </c>
      <c r="W149">
        <v>1744.05</v>
      </c>
      <c r="X149">
        <v>1035.8699999999999</v>
      </c>
      <c r="Y149">
        <f>V149-W149</f>
        <v>1035.8700000000001</v>
      </c>
      <c r="Z149" s="12">
        <f>Y149/V149</f>
        <v>0.37262583095916435</v>
      </c>
      <c r="AA149" t="s">
        <v>32</v>
      </c>
      <c r="AB149" t="s">
        <v>33</v>
      </c>
      <c r="AC149" s="14" t="s">
        <v>2794</v>
      </c>
      <c r="AD149" t="s">
        <v>2782</v>
      </c>
      <c r="AE149" t="str">
        <f>PROPER(TRIM(AB149))</f>
        <v>Completed</v>
      </c>
      <c r="AS149" t="str">
        <f t="shared" si="4"/>
        <v/>
      </c>
    </row>
    <row r="150" spans="1:45">
      <c r="A150" t="s">
        <v>553</v>
      </c>
      <c r="B150" s="7">
        <v>45697</v>
      </c>
      <c r="C150" s="4">
        <v>45701</v>
      </c>
      <c r="D150">
        <f>C150-B150</f>
        <v>4</v>
      </c>
      <c r="E150" t="str">
        <f>TEXT(B150,"mmmm")</f>
        <v>February</v>
      </c>
      <c r="F150">
        <f>YEAR(B150)</f>
        <v>2025</v>
      </c>
      <c r="G150" t="s">
        <v>554</v>
      </c>
      <c r="H150" t="s">
        <v>36</v>
      </c>
      <c r="I150" t="s">
        <v>95</v>
      </c>
      <c r="J150" t="s">
        <v>63</v>
      </c>
      <c r="K150" t="s">
        <v>72</v>
      </c>
      <c r="L150" t="s">
        <v>73</v>
      </c>
      <c r="M150" t="s">
        <v>74</v>
      </c>
      <c r="N150" t="s">
        <v>171</v>
      </c>
      <c r="O150" t="s">
        <v>555</v>
      </c>
      <c r="P150" t="s">
        <v>2783</v>
      </c>
      <c r="Q150">
        <v>8</v>
      </c>
      <c r="R150">
        <v>1696.07</v>
      </c>
      <c r="S150">
        <v>0.25</v>
      </c>
      <c r="T150" s="12">
        <f>S150</f>
        <v>0.25</v>
      </c>
      <c r="U150">
        <v>10176.42</v>
      </c>
      <c r="V150">
        <f>Q150*R150*(1-S150)</f>
        <v>10176.42</v>
      </c>
      <c r="W150">
        <v>7604.47</v>
      </c>
      <c r="X150">
        <v>2571.9499999999998</v>
      </c>
      <c r="Y150">
        <f>V150-W150</f>
        <v>2571.9499999999998</v>
      </c>
      <c r="Z150" s="12">
        <f>Y150/V150</f>
        <v>0.252736227474888</v>
      </c>
      <c r="AA150" t="s">
        <v>32</v>
      </c>
      <c r="AB150" t="s">
        <v>33</v>
      </c>
      <c r="AC150" s="10" t="s">
        <v>2795</v>
      </c>
      <c r="AD150" t="s">
        <v>2782</v>
      </c>
      <c r="AE150" t="str">
        <f>PROPER(TRIM(AB150))</f>
        <v>Completed</v>
      </c>
      <c r="AS150" t="str">
        <f t="shared" si="4"/>
        <v/>
      </c>
    </row>
    <row r="151" spans="1:45">
      <c r="A151" t="s">
        <v>556</v>
      </c>
      <c r="B151" s="7">
        <v>45321</v>
      </c>
      <c r="C151" s="4">
        <v>45321</v>
      </c>
      <c r="D151">
        <f>C151-B151</f>
        <v>0</v>
      </c>
      <c r="E151" t="str">
        <f>TEXT(B151,"mmmm")</f>
        <v>January</v>
      </c>
      <c r="F151">
        <f>YEAR(B151)</f>
        <v>2024</v>
      </c>
      <c r="G151" t="s">
        <v>557</v>
      </c>
      <c r="H151" t="s">
        <v>128</v>
      </c>
      <c r="I151" t="s">
        <v>37</v>
      </c>
      <c r="J151" t="s">
        <v>63</v>
      </c>
      <c r="K151" t="s">
        <v>26</v>
      </c>
      <c r="L151" t="s">
        <v>109</v>
      </c>
      <c r="M151" t="s">
        <v>74</v>
      </c>
      <c r="N151" t="s">
        <v>80</v>
      </c>
      <c r="O151" t="s">
        <v>558</v>
      </c>
      <c r="P151" t="s">
        <v>44</v>
      </c>
      <c r="Q151">
        <v>7</v>
      </c>
      <c r="R151">
        <v>2527.61</v>
      </c>
      <c r="S151">
        <v>0.25</v>
      </c>
      <c r="T151" s="12">
        <f>S151</f>
        <v>0.25</v>
      </c>
      <c r="U151">
        <v>13269.95</v>
      </c>
      <c r="V151">
        <f>Q151*R151*(1-S151)</f>
        <v>13269.952499999999</v>
      </c>
      <c r="W151">
        <v>8977.1</v>
      </c>
      <c r="X151">
        <v>4292.8500000000004</v>
      </c>
      <c r="Y151">
        <f>V151-W151</f>
        <v>4292.8524999999991</v>
      </c>
      <c r="Z151" s="12">
        <f>Y151/V151</f>
        <v>0.32350172315989822</v>
      </c>
      <c r="AA151" t="s">
        <v>32</v>
      </c>
      <c r="AB151" t="s">
        <v>33</v>
      </c>
      <c r="AC151" s="14" t="s">
        <v>2794</v>
      </c>
      <c r="AD151" t="s">
        <v>2782</v>
      </c>
      <c r="AE151" t="str">
        <f>PROPER(TRIM(AB151))</f>
        <v>Completed</v>
      </c>
      <c r="AS151" t="str">
        <f t="shared" si="4"/>
        <v/>
      </c>
    </row>
    <row r="152" spans="1:45">
      <c r="A152" t="s">
        <v>559</v>
      </c>
      <c r="B152" s="7">
        <v>45355</v>
      </c>
      <c r="C152" s="4">
        <v>45363</v>
      </c>
      <c r="D152">
        <f>C152-B152</f>
        <v>8</v>
      </c>
      <c r="E152" t="str">
        <f>TEXT(B152,"mmmm")</f>
        <v>March</v>
      </c>
      <c r="F152">
        <f>YEAR(B152)</f>
        <v>2024</v>
      </c>
      <c r="G152" t="s">
        <v>560</v>
      </c>
      <c r="H152" t="s">
        <v>53</v>
      </c>
      <c r="I152" t="s">
        <v>24</v>
      </c>
      <c r="J152" t="s">
        <v>2783</v>
      </c>
      <c r="K152" t="s">
        <v>180</v>
      </c>
      <c r="L152" t="s">
        <v>181</v>
      </c>
      <c r="M152" t="s">
        <v>41</v>
      </c>
      <c r="N152" t="s">
        <v>158</v>
      </c>
      <c r="O152" t="s">
        <v>561</v>
      </c>
      <c r="P152" t="s">
        <v>50</v>
      </c>
      <c r="Q152">
        <v>1</v>
      </c>
      <c r="R152">
        <v>1554.12</v>
      </c>
      <c r="S152">
        <v>0.1</v>
      </c>
      <c r="T152" s="12">
        <f>S152</f>
        <v>0.1</v>
      </c>
      <c r="U152">
        <v>1398.71</v>
      </c>
      <c r="V152">
        <f>Q152*R152*(1-S152)</f>
        <v>1398.7079999999999</v>
      </c>
      <c r="W152">
        <v>1056.92</v>
      </c>
      <c r="X152">
        <v>341.79</v>
      </c>
      <c r="Y152">
        <f>V152-W152</f>
        <v>341.78799999999978</v>
      </c>
      <c r="Z152" s="12">
        <f>Y152/V152</f>
        <v>0.24435979489643286</v>
      </c>
      <c r="AA152" t="s">
        <v>32</v>
      </c>
      <c r="AB152" t="s">
        <v>33</v>
      </c>
      <c r="AC152" s="10" t="s">
        <v>2796</v>
      </c>
      <c r="AD152" t="s">
        <v>2782</v>
      </c>
      <c r="AE152" t="str">
        <f>PROPER(TRIM(AB152))</f>
        <v>Completed</v>
      </c>
      <c r="AS152" t="str">
        <f t="shared" si="4"/>
        <v/>
      </c>
    </row>
    <row r="153" spans="1:45">
      <c r="A153" t="s">
        <v>562</v>
      </c>
      <c r="B153" s="7">
        <v>45470</v>
      </c>
      <c r="C153" s="4">
        <v>45470</v>
      </c>
      <c r="D153">
        <f>C153-B153</f>
        <v>0</v>
      </c>
      <c r="E153" t="str">
        <f>TEXT(B153,"mmmm")</f>
        <v>June</v>
      </c>
      <c r="F153">
        <f>YEAR(B153)</f>
        <v>2024</v>
      </c>
      <c r="G153" t="s">
        <v>563</v>
      </c>
      <c r="H153" t="s">
        <v>79</v>
      </c>
      <c r="I153" t="s">
        <v>95</v>
      </c>
      <c r="J153" t="s">
        <v>2783</v>
      </c>
      <c r="K153" t="s">
        <v>72</v>
      </c>
      <c r="L153" t="s">
        <v>73</v>
      </c>
      <c r="M153" t="s">
        <v>74</v>
      </c>
      <c r="N153" t="s">
        <v>80</v>
      </c>
      <c r="O153" t="s">
        <v>564</v>
      </c>
      <c r="P153" t="s">
        <v>59</v>
      </c>
      <c r="Q153">
        <v>2</v>
      </c>
      <c r="R153">
        <v>3859.11</v>
      </c>
      <c r="S153">
        <v>0</v>
      </c>
      <c r="T153" s="12">
        <f>S153</f>
        <v>0</v>
      </c>
      <c r="U153">
        <v>7718.22</v>
      </c>
      <c r="V153">
        <f>Q153*R153*(1-S153)</f>
        <v>7718.22</v>
      </c>
      <c r="W153">
        <v>5355.93</v>
      </c>
      <c r="X153">
        <v>2362.29</v>
      </c>
      <c r="Y153">
        <f>V153-W153</f>
        <v>2362.29</v>
      </c>
      <c r="Z153" s="12">
        <f>Y153/V153</f>
        <v>0.30606668376905555</v>
      </c>
      <c r="AA153" t="s">
        <v>111</v>
      </c>
      <c r="AB153" t="s">
        <v>103</v>
      </c>
      <c r="AC153" s="10" t="s">
        <v>2796</v>
      </c>
      <c r="AD153" t="s">
        <v>2782</v>
      </c>
      <c r="AE153" t="str">
        <f>PROPER(TRIM(AB153))</f>
        <v>Returned</v>
      </c>
      <c r="AS153" t="str">
        <f t="shared" si="4"/>
        <v/>
      </c>
    </row>
    <row r="154" spans="1:45">
      <c r="A154" t="s">
        <v>565</v>
      </c>
      <c r="B154" s="7">
        <v>45457</v>
      </c>
      <c r="C154" s="4">
        <v>45460</v>
      </c>
      <c r="D154">
        <f>C154-B154</f>
        <v>3</v>
      </c>
      <c r="E154" t="str">
        <f>TEXT(B154,"mmmm")</f>
        <v>June</v>
      </c>
      <c r="F154">
        <f>YEAR(B154)</f>
        <v>2024</v>
      </c>
      <c r="G154" t="s">
        <v>566</v>
      </c>
      <c r="H154" t="s">
        <v>264</v>
      </c>
      <c r="I154" t="s">
        <v>37</v>
      </c>
      <c r="J154" t="s">
        <v>54</v>
      </c>
      <c r="K154" t="s">
        <v>185</v>
      </c>
      <c r="L154" t="s">
        <v>186</v>
      </c>
      <c r="M154" t="s">
        <v>41</v>
      </c>
      <c r="N154" t="s">
        <v>42</v>
      </c>
      <c r="O154" t="s">
        <v>567</v>
      </c>
      <c r="P154" t="s">
        <v>31</v>
      </c>
      <c r="Q154">
        <v>6</v>
      </c>
      <c r="R154">
        <v>1088.04</v>
      </c>
      <c r="S154">
        <v>0.1</v>
      </c>
      <c r="T154" s="12">
        <f>S154</f>
        <v>0.1</v>
      </c>
      <c r="U154">
        <v>5875.42</v>
      </c>
      <c r="V154">
        <f>Q154*R154*(1-S154)</f>
        <v>5875.4160000000002</v>
      </c>
      <c r="W154">
        <v>4380.55</v>
      </c>
      <c r="X154">
        <v>1494.87</v>
      </c>
      <c r="Y154">
        <f>V154-W154</f>
        <v>1494.866</v>
      </c>
      <c r="Z154" s="12">
        <f>Y154/V154</f>
        <v>0.25442726098032886</v>
      </c>
      <c r="AA154" t="s">
        <v>111</v>
      </c>
      <c r="AB154" t="s">
        <v>103</v>
      </c>
      <c r="AC154" s="14" t="s">
        <v>2794</v>
      </c>
      <c r="AD154" t="s">
        <v>2782</v>
      </c>
      <c r="AE154" t="str">
        <f>PROPER(TRIM(AB154))</f>
        <v>Returned</v>
      </c>
      <c r="AS154" t="str">
        <f t="shared" si="4"/>
        <v/>
      </c>
    </row>
    <row r="155" spans="1:45">
      <c r="A155" t="s">
        <v>568</v>
      </c>
      <c r="B155" s="7">
        <v>45923</v>
      </c>
      <c r="C155" s="4">
        <v>45925</v>
      </c>
      <c r="D155">
        <f>C155-B155</f>
        <v>2</v>
      </c>
      <c r="E155" t="str">
        <f>TEXT(B155,"mmmm")</f>
        <v>September</v>
      </c>
      <c r="F155">
        <f>YEAR(B155)</f>
        <v>2025</v>
      </c>
      <c r="G155" t="s">
        <v>569</v>
      </c>
      <c r="H155" t="s">
        <v>89</v>
      </c>
      <c r="I155" t="s">
        <v>24</v>
      </c>
      <c r="J155" t="s">
        <v>38</v>
      </c>
      <c r="K155" t="s">
        <v>39</v>
      </c>
      <c r="L155" t="s">
        <v>40</v>
      </c>
      <c r="M155" t="s">
        <v>28</v>
      </c>
      <c r="N155" t="s">
        <v>91</v>
      </c>
      <c r="O155" t="s">
        <v>570</v>
      </c>
      <c r="P155" t="s">
        <v>59</v>
      </c>
      <c r="Q155">
        <v>7</v>
      </c>
      <c r="R155">
        <v>3280.31</v>
      </c>
      <c r="S155">
        <v>0</v>
      </c>
      <c r="T155" s="12">
        <f>S155</f>
        <v>0</v>
      </c>
      <c r="U155">
        <v>22962.17</v>
      </c>
      <c r="V155">
        <f>Q155*R155*(1-S155)</f>
        <v>22962.17</v>
      </c>
      <c r="W155">
        <v>15716.5</v>
      </c>
      <c r="X155">
        <v>7245.67</v>
      </c>
      <c r="Y155">
        <f>V155-W155</f>
        <v>7245.6699999999983</v>
      </c>
      <c r="Z155" s="12">
        <f>Y155/V155</f>
        <v>0.31554813852523517</v>
      </c>
      <c r="AA155" t="s">
        <v>102</v>
      </c>
      <c r="AB155" t="s">
        <v>103</v>
      </c>
      <c r="AC155" s="14" t="s">
        <v>2794</v>
      </c>
      <c r="AD155" t="s">
        <v>2782</v>
      </c>
      <c r="AE155" t="str">
        <f>PROPER(TRIM(AB155))</f>
        <v>Returned</v>
      </c>
      <c r="AS155" t="str">
        <f t="shared" si="4"/>
        <v/>
      </c>
    </row>
    <row r="156" spans="1:45">
      <c r="A156" t="s">
        <v>571</v>
      </c>
      <c r="B156" s="7">
        <v>45334</v>
      </c>
      <c r="C156" s="4">
        <v>45598</v>
      </c>
      <c r="D156">
        <f>C156-B156</f>
        <v>264</v>
      </c>
      <c r="E156" t="str">
        <f>TEXT(B156,"mmmm")</f>
        <v>February</v>
      </c>
      <c r="F156">
        <f>YEAR(B156)</f>
        <v>2024</v>
      </c>
      <c r="G156" t="s">
        <v>455</v>
      </c>
      <c r="H156" t="s">
        <v>114</v>
      </c>
      <c r="I156" t="s">
        <v>24</v>
      </c>
      <c r="J156" t="s">
        <v>54</v>
      </c>
      <c r="K156" t="s">
        <v>247</v>
      </c>
      <c r="L156" t="s">
        <v>248</v>
      </c>
      <c r="M156" t="s">
        <v>41</v>
      </c>
      <c r="N156" t="s">
        <v>158</v>
      </c>
      <c r="O156" t="s">
        <v>572</v>
      </c>
      <c r="P156" t="s">
        <v>44</v>
      </c>
      <c r="Q156">
        <v>1</v>
      </c>
      <c r="R156">
        <v>2599.12</v>
      </c>
      <c r="S156">
        <v>0.15</v>
      </c>
      <c r="T156" s="12">
        <f>S156</f>
        <v>0.15</v>
      </c>
      <c r="U156">
        <v>2209.25</v>
      </c>
      <c r="V156">
        <f>Q156*R156*(1-S156)</f>
        <v>2209.252</v>
      </c>
      <c r="W156">
        <v>1523.78</v>
      </c>
      <c r="X156">
        <v>685.47</v>
      </c>
      <c r="Y156">
        <f>V156-W156</f>
        <v>685.47199999999998</v>
      </c>
      <c r="Z156" s="12">
        <f>Y156/V156</f>
        <v>0.31027334138432372</v>
      </c>
      <c r="AA156" t="s">
        <v>32</v>
      </c>
      <c r="AB156" t="s">
        <v>33</v>
      </c>
      <c r="AC156" s="14" t="s">
        <v>2794</v>
      </c>
      <c r="AD156" t="s">
        <v>2782</v>
      </c>
      <c r="AE156" t="str">
        <f>PROPER(TRIM(AB156))</f>
        <v>Completed</v>
      </c>
      <c r="AS156" t="str">
        <f t="shared" si="4"/>
        <v/>
      </c>
    </row>
    <row r="157" spans="1:45">
      <c r="A157" t="s">
        <v>573</v>
      </c>
      <c r="B157" s="7">
        <v>45683</v>
      </c>
      <c r="C157" s="4">
        <v>45691</v>
      </c>
      <c r="D157">
        <f>C157-B157</f>
        <v>8</v>
      </c>
      <c r="E157" t="str">
        <f>TEXT(B157,"mmmm")</f>
        <v>January</v>
      </c>
      <c r="F157">
        <f>YEAR(B157)</f>
        <v>2025</v>
      </c>
      <c r="G157" t="s">
        <v>574</v>
      </c>
      <c r="H157" t="s">
        <v>23</v>
      </c>
      <c r="I157" t="s">
        <v>90</v>
      </c>
      <c r="J157" t="s">
        <v>63</v>
      </c>
      <c r="K157" t="s">
        <v>26</v>
      </c>
      <c r="L157" t="s">
        <v>109</v>
      </c>
      <c r="M157" t="s">
        <v>41</v>
      </c>
      <c r="N157" t="s">
        <v>57</v>
      </c>
      <c r="O157" t="s">
        <v>575</v>
      </c>
      <c r="P157" t="s">
        <v>44</v>
      </c>
      <c r="Q157">
        <v>3</v>
      </c>
      <c r="R157">
        <v>2859.32</v>
      </c>
      <c r="S157">
        <v>0.1</v>
      </c>
      <c r="T157" s="12">
        <f>S157</f>
        <v>0.1</v>
      </c>
      <c r="U157">
        <v>7720.16</v>
      </c>
      <c r="V157">
        <f>Q157*R157*(1-S157)</f>
        <v>7720.1640000000007</v>
      </c>
      <c r="W157">
        <v>5881</v>
      </c>
      <c r="X157">
        <v>1839.16</v>
      </c>
      <c r="Y157">
        <f>V157-W157</f>
        <v>1839.1640000000007</v>
      </c>
      <c r="Z157" s="12">
        <f>Y157/V157</f>
        <v>0.23822861794127695</v>
      </c>
      <c r="AA157" t="s">
        <v>102</v>
      </c>
      <c r="AB157" t="s">
        <v>103</v>
      </c>
      <c r="AC157" s="14" t="s">
        <v>2794</v>
      </c>
      <c r="AD157" t="s">
        <v>2782</v>
      </c>
      <c r="AE157" t="str">
        <f>PROPER(TRIM(AB157))</f>
        <v>Returned</v>
      </c>
      <c r="AS157" t="str">
        <f t="shared" si="4"/>
        <v/>
      </c>
    </row>
    <row r="158" spans="1:45">
      <c r="A158" t="s">
        <v>576</v>
      </c>
      <c r="B158" s="7">
        <v>45743</v>
      </c>
      <c r="C158" s="4">
        <v>45743</v>
      </c>
      <c r="D158">
        <f>C158-B158</f>
        <v>0</v>
      </c>
      <c r="E158" t="str">
        <f>TEXT(B158,"mmmm")</f>
        <v>March</v>
      </c>
      <c r="F158">
        <f>YEAR(B158)</f>
        <v>2025</v>
      </c>
      <c r="G158" t="s">
        <v>577</v>
      </c>
      <c r="H158" t="s">
        <v>71</v>
      </c>
      <c r="I158" t="s">
        <v>37</v>
      </c>
      <c r="J158" t="s">
        <v>38</v>
      </c>
      <c r="K158" t="s">
        <v>145</v>
      </c>
      <c r="L158" t="s">
        <v>146</v>
      </c>
      <c r="M158" t="s">
        <v>74</v>
      </c>
      <c r="N158" t="s">
        <v>274</v>
      </c>
      <c r="O158" t="s">
        <v>578</v>
      </c>
      <c r="P158" t="s">
        <v>31</v>
      </c>
      <c r="Q158">
        <v>7</v>
      </c>
      <c r="R158">
        <v>2305.37</v>
      </c>
      <c r="S158">
        <v>0.25</v>
      </c>
      <c r="T158" s="12">
        <f>S158</f>
        <v>0.25</v>
      </c>
      <c r="U158">
        <v>12103.19</v>
      </c>
      <c r="V158">
        <f>Q158*R158*(1-S158)</f>
        <v>12103.192500000001</v>
      </c>
      <c r="W158">
        <v>6717.87</v>
      </c>
      <c r="X158">
        <v>5385.32</v>
      </c>
      <c r="Y158">
        <f>V158-W158</f>
        <v>5385.3225000000011</v>
      </c>
      <c r="Z158" s="12">
        <f>Y158/V158</f>
        <v>0.44495057812225997</v>
      </c>
      <c r="AA158" t="s">
        <v>32</v>
      </c>
      <c r="AB158" t="s">
        <v>33</v>
      </c>
      <c r="AC158" s="14" t="s">
        <v>2794</v>
      </c>
      <c r="AD158" t="s">
        <v>2782</v>
      </c>
      <c r="AE158" t="str">
        <f>PROPER(TRIM(AB158))</f>
        <v>Completed</v>
      </c>
      <c r="AS158" t="str">
        <f t="shared" si="4"/>
        <v/>
      </c>
    </row>
    <row r="159" spans="1:45">
      <c r="A159" t="s">
        <v>579</v>
      </c>
      <c r="B159" s="7">
        <v>45587</v>
      </c>
      <c r="C159" s="4">
        <v>45589</v>
      </c>
      <c r="D159">
        <f>C159-B159</f>
        <v>2</v>
      </c>
      <c r="E159" t="str">
        <f>TEXT(B159,"mmmm")</f>
        <v>October</v>
      </c>
      <c r="F159">
        <f>YEAR(B159)</f>
        <v>2024</v>
      </c>
      <c r="G159" t="s">
        <v>580</v>
      </c>
      <c r="H159" t="s">
        <v>141</v>
      </c>
      <c r="I159" t="s">
        <v>37</v>
      </c>
      <c r="J159" t="s">
        <v>54</v>
      </c>
      <c r="K159" t="s">
        <v>84</v>
      </c>
      <c r="L159" t="s">
        <v>85</v>
      </c>
      <c r="M159" t="s">
        <v>41</v>
      </c>
      <c r="N159" t="s">
        <v>158</v>
      </c>
      <c r="O159" t="s">
        <v>581</v>
      </c>
      <c r="P159" t="s">
        <v>59</v>
      </c>
      <c r="Q159">
        <v>3</v>
      </c>
      <c r="R159">
        <v>915.84</v>
      </c>
      <c r="S159">
        <v>0.15</v>
      </c>
      <c r="T159" s="12">
        <f>S159</f>
        <v>0.15</v>
      </c>
      <c r="U159">
        <v>2335.39</v>
      </c>
      <c r="V159">
        <f>Q159*R159*(1-S159)</f>
        <v>2335.3919999999998</v>
      </c>
      <c r="W159">
        <v>1466.15</v>
      </c>
      <c r="X159">
        <v>869.24</v>
      </c>
      <c r="Y159">
        <f>V159-W159</f>
        <v>869.24199999999973</v>
      </c>
      <c r="Z159" s="12">
        <f>Y159/V159</f>
        <v>0.3722038955344541</v>
      </c>
      <c r="AA159" t="s">
        <v>32</v>
      </c>
      <c r="AB159" t="s">
        <v>33</v>
      </c>
      <c r="AC159" s="14" t="s">
        <v>2794</v>
      </c>
      <c r="AD159" t="s">
        <v>2782</v>
      </c>
      <c r="AE159" t="str">
        <f>PROPER(TRIM(AB159))</f>
        <v>Completed</v>
      </c>
      <c r="AS159" t="str">
        <f t="shared" si="4"/>
        <v/>
      </c>
    </row>
    <row r="160" spans="1:45">
      <c r="A160" t="s">
        <v>582</v>
      </c>
      <c r="B160" s="7">
        <v>45544</v>
      </c>
      <c r="C160" s="4">
        <v>45605</v>
      </c>
      <c r="D160">
        <f>C160-B160</f>
        <v>61</v>
      </c>
      <c r="E160" t="str">
        <f>TEXT(B160,"mmmm")</f>
        <v>September</v>
      </c>
      <c r="F160">
        <f>YEAR(B160)</f>
        <v>2024</v>
      </c>
      <c r="G160" t="s">
        <v>583</v>
      </c>
      <c r="H160" t="s">
        <v>79</v>
      </c>
      <c r="I160" t="s">
        <v>95</v>
      </c>
      <c r="J160" t="s">
        <v>54</v>
      </c>
      <c r="K160" t="s">
        <v>55</v>
      </c>
      <c r="L160" t="s">
        <v>56</v>
      </c>
      <c r="M160" t="s">
        <v>41</v>
      </c>
      <c r="N160" t="s">
        <v>158</v>
      </c>
      <c r="O160" t="s">
        <v>584</v>
      </c>
      <c r="P160" t="s">
        <v>50</v>
      </c>
      <c r="Q160">
        <v>1</v>
      </c>
      <c r="R160">
        <v>4199.54</v>
      </c>
      <c r="S160">
        <v>0.05</v>
      </c>
      <c r="T160" s="12">
        <f>S160</f>
        <v>0.05</v>
      </c>
      <c r="U160">
        <v>3989.56</v>
      </c>
      <c r="V160">
        <f>Q160*R160*(1-S160)</f>
        <v>3989.5629999999996</v>
      </c>
      <c r="W160">
        <v>2381.38</v>
      </c>
      <c r="X160">
        <v>1608.18</v>
      </c>
      <c r="Y160">
        <f>V160-W160</f>
        <v>1608.1829999999995</v>
      </c>
      <c r="Z160" s="12">
        <f>Y160/V160</f>
        <v>0.40309753223598666</v>
      </c>
      <c r="AA160" t="s">
        <v>32</v>
      </c>
      <c r="AB160" t="s">
        <v>33</v>
      </c>
      <c r="AC160" s="14" t="s">
        <v>2794</v>
      </c>
      <c r="AD160" t="s">
        <v>2782</v>
      </c>
      <c r="AE160" t="str">
        <f>PROPER(TRIM(AB160))</f>
        <v>Completed</v>
      </c>
      <c r="AS160" t="str">
        <f t="shared" si="4"/>
        <v/>
      </c>
    </row>
    <row r="161" spans="1:45">
      <c r="A161" t="s">
        <v>585</v>
      </c>
      <c r="B161" s="7">
        <v>45687</v>
      </c>
      <c r="C161" s="4">
        <v>45692</v>
      </c>
      <c r="D161">
        <f>C161-B161</f>
        <v>5</v>
      </c>
      <c r="E161" t="str">
        <f>TEXT(B161,"mmmm")</f>
        <v>January</v>
      </c>
      <c r="F161">
        <f>YEAR(B161)</f>
        <v>2025</v>
      </c>
      <c r="G161" t="s">
        <v>586</v>
      </c>
      <c r="H161" t="s">
        <v>114</v>
      </c>
      <c r="I161" t="s">
        <v>90</v>
      </c>
      <c r="J161" t="s">
        <v>25</v>
      </c>
      <c r="K161" t="s">
        <v>236</v>
      </c>
      <c r="L161" t="s">
        <v>237</v>
      </c>
      <c r="M161" t="s">
        <v>41</v>
      </c>
      <c r="N161" t="s">
        <v>66</v>
      </c>
      <c r="O161" t="s">
        <v>587</v>
      </c>
      <c r="P161" t="s">
        <v>44</v>
      </c>
      <c r="Q161">
        <v>9</v>
      </c>
      <c r="R161">
        <v>4430.5</v>
      </c>
      <c r="S161">
        <v>0.15</v>
      </c>
      <c r="T161" s="12">
        <f>S161</f>
        <v>0.15</v>
      </c>
      <c r="U161">
        <v>33893.32</v>
      </c>
      <c r="V161">
        <f>Q161*R161*(1-S161)</f>
        <v>33893.324999999997</v>
      </c>
      <c r="W161">
        <v>25750.35</v>
      </c>
      <c r="X161">
        <v>8142.97</v>
      </c>
      <c r="Y161">
        <f>V161-W161</f>
        <v>8142.9749999999985</v>
      </c>
      <c r="Z161" s="12">
        <f>Y161/V161</f>
        <v>0.24025305867748292</v>
      </c>
      <c r="AA161" t="s">
        <v>111</v>
      </c>
      <c r="AB161" t="s">
        <v>68</v>
      </c>
      <c r="AC161" s="14" t="s">
        <v>2794</v>
      </c>
      <c r="AD161" t="s">
        <v>2782</v>
      </c>
      <c r="AE161" t="str">
        <f>PROPER(TRIM(AB161))</f>
        <v>Cancelled</v>
      </c>
      <c r="AS161" t="str">
        <f t="shared" si="4"/>
        <v/>
      </c>
    </row>
    <row r="162" spans="1:45">
      <c r="A162" t="s">
        <v>588</v>
      </c>
      <c r="B162" s="7">
        <v>45938</v>
      </c>
      <c r="C162" s="4">
        <v>45818</v>
      </c>
      <c r="D162" s="10">
        <f>C162-B162</f>
        <v>-120</v>
      </c>
      <c r="E162" t="str">
        <f>TEXT(B162,"mmmm")</f>
        <v>October</v>
      </c>
      <c r="F162">
        <f>YEAR(B162)</f>
        <v>2025</v>
      </c>
      <c r="G162" t="s">
        <v>589</v>
      </c>
      <c r="H162" t="s">
        <v>71</v>
      </c>
      <c r="I162" t="s">
        <v>37</v>
      </c>
      <c r="J162" t="s">
        <v>63</v>
      </c>
      <c r="K162" t="s">
        <v>64</v>
      </c>
      <c r="L162" t="s">
        <v>65</v>
      </c>
      <c r="M162" t="s">
        <v>28</v>
      </c>
      <c r="N162" t="s">
        <v>29</v>
      </c>
      <c r="O162" t="s">
        <v>590</v>
      </c>
      <c r="P162" t="s">
        <v>31</v>
      </c>
      <c r="Q162">
        <v>4</v>
      </c>
      <c r="R162">
        <v>1260.42</v>
      </c>
      <c r="S162">
        <v>0.05</v>
      </c>
      <c r="T162" s="12">
        <f>S162</f>
        <v>0.05</v>
      </c>
      <c r="U162">
        <v>4789.6000000000004</v>
      </c>
      <c r="V162">
        <f>Q162*R162*(1-S162)</f>
        <v>4789.5960000000005</v>
      </c>
      <c r="W162">
        <v>4037.64</v>
      </c>
      <c r="X162">
        <v>751.96</v>
      </c>
      <c r="Y162">
        <f>V162-W162</f>
        <v>751.95600000000059</v>
      </c>
      <c r="Z162" s="12">
        <f>Y162/V162</f>
        <v>0.1569977927157114</v>
      </c>
      <c r="AA162" t="s">
        <v>111</v>
      </c>
      <c r="AB162" t="s">
        <v>68</v>
      </c>
      <c r="AC162" s="10" t="s">
        <v>2792</v>
      </c>
      <c r="AD162" t="s">
        <v>2782</v>
      </c>
      <c r="AE162" t="str">
        <f>PROPER(TRIM(AB162))</f>
        <v>Cancelled</v>
      </c>
      <c r="AS162" t="str">
        <f t="shared" si="4"/>
        <v/>
      </c>
    </row>
    <row r="163" spans="1:45">
      <c r="A163" t="s">
        <v>591</v>
      </c>
      <c r="B163" s="7">
        <v>45862</v>
      </c>
      <c r="C163" s="4">
        <v>45868</v>
      </c>
      <c r="D163">
        <f>C163-B163</f>
        <v>6</v>
      </c>
      <c r="E163" t="str">
        <f>TEXT(B163,"mmmm")</f>
        <v>July</v>
      </c>
      <c r="F163">
        <f>YEAR(B163)</f>
        <v>2025</v>
      </c>
      <c r="G163" t="s">
        <v>592</v>
      </c>
      <c r="H163" t="s">
        <v>53</v>
      </c>
      <c r="I163" t="s">
        <v>24</v>
      </c>
      <c r="J163" t="s">
        <v>63</v>
      </c>
      <c r="K163" t="s">
        <v>26</v>
      </c>
      <c r="L163" t="s">
        <v>109</v>
      </c>
      <c r="M163" t="s">
        <v>28</v>
      </c>
      <c r="N163" t="s">
        <v>153</v>
      </c>
      <c r="O163" t="s">
        <v>593</v>
      </c>
      <c r="P163" t="s">
        <v>59</v>
      </c>
      <c r="Q163">
        <v>1</v>
      </c>
      <c r="R163">
        <v>1643.41</v>
      </c>
      <c r="S163">
        <v>0</v>
      </c>
      <c r="T163" s="12">
        <f>S163</f>
        <v>0</v>
      </c>
      <c r="U163">
        <v>1643.41</v>
      </c>
      <c r="V163">
        <f>Q163*R163*(1-S163)</f>
        <v>1643.41</v>
      </c>
      <c r="W163">
        <v>907.4</v>
      </c>
      <c r="X163">
        <v>736.01</v>
      </c>
      <c r="Y163">
        <f>V163-W163</f>
        <v>736.0100000000001</v>
      </c>
      <c r="Z163" s="12">
        <f>Y163/V163</f>
        <v>0.44785537388722235</v>
      </c>
      <c r="AA163" t="s">
        <v>111</v>
      </c>
      <c r="AB163" t="s">
        <v>68</v>
      </c>
      <c r="AC163" s="14" t="s">
        <v>2794</v>
      </c>
      <c r="AD163" t="s">
        <v>2782</v>
      </c>
      <c r="AE163" t="str">
        <f>PROPER(TRIM(AB163))</f>
        <v>Cancelled</v>
      </c>
      <c r="AS163" t="str">
        <f t="shared" si="4"/>
        <v/>
      </c>
    </row>
    <row r="164" spans="1:45">
      <c r="A164" t="s">
        <v>594</v>
      </c>
      <c r="B164" s="7">
        <v>45360</v>
      </c>
      <c r="C164" s="4">
        <v>45365</v>
      </c>
      <c r="D164">
        <f>C164-B164</f>
        <v>5</v>
      </c>
      <c r="E164" t="str">
        <f>TEXT(B164,"mmmm")</f>
        <v>March</v>
      </c>
      <c r="F164">
        <f>YEAR(B164)</f>
        <v>2024</v>
      </c>
      <c r="G164" t="s">
        <v>595</v>
      </c>
      <c r="H164" t="s">
        <v>79</v>
      </c>
      <c r="I164" t="s">
        <v>37</v>
      </c>
      <c r="J164" t="s">
        <v>63</v>
      </c>
      <c r="K164" t="s">
        <v>190</v>
      </c>
      <c r="L164" t="s">
        <v>191</v>
      </c>
      <c r="M164" t="s">
        <v>41</v>
      </c>
      <c r="N164" t="s">
        <v>57</v>
      </c>
      <c r="O164" t="s">
        <v>596</v>
      </c>
      <c r="P164" t="s">
        <v>31</v>
      </c>
      <c r="Q164">
        <v>8</v>
      </c>
      <c r="R164">
        <v>4472.84</v>
      </c>
      <c r="S164">
        <v>0</v>
      </c>
      <c r="T164" s="12">
        <f>S164</f>
        <v>0</v>
      </c>
      <c r="U164">
        <v>35997.620000000003</v>
      </c>
      <c r="V164">
        <f>Q164*R164*(1-S164)</f>
        <v>35782.720000000001</v>
      </c>
      <c r="W164">
        <v>26424.41</v>
      </c>
      <c r="X164">
        <v>9358.31</v>
      </c>
      <c r="Y164">
        <f>V164-W164</f>
        <v>9358.3100000000013</v>
      </c>
      <c r="Z164" s="12">
        <f>Y164/V164</f>
        <v>0.2615315437171909</v>
      </c>
      <c r="AA164" t="s">
        <v>111</v>
      </c>
      <c r="AB164" t="s">
        <v>103</v>
      </c>
      <c r="AC164" s="14" t="s">
        <v>2794</v>
      </c>
      <c r="AD164" t="s">
        <v>2782</v>
      </c>
      <c r="AE164" t="str">
        <f>PROPER(TRIM(AB164))</f>
        <v>Returned</v>
      </c>
      <c r="AS164" t="str">
        <f t="shared" si="4"/>
        <v/>
      </c>
    </row>
    <row r="165" spans="1:45">
      <c r="A165" t="s">
        <v>597</v>
      </c>
      <c r="B165" s="7">
        <v>45921</v>
      </c>
      <c r="C165" s="4">
        <v>45926</v>
      </c>
      <c r="D165">
        <f>C165-B165</f>
        <v>5</v>
      </c>
      <c r="E165" t="str">
        <f>TEXT(B165,"mmmm")</f>
        <v>September</v>
      </c>
      <c r="F165">
        <f>YEAR(B165)</f>
        <v>2025</v>
      </c>
      <c r="G165" t="s">
        <v>598</v>
      </c>
      <c r="H165" t="s">
        <v>141</v>
      </c>
      <c r="I165" t="s">
        <v>95</v>
      </c>
      <c r="J165" t="s">
        <v>63</v>
      </c>
      <c r="K165" t="s">
        <v>180</v>
      </c>
      <c r="L165" t="s">
        <v>181</v>
      </c>
      <c r="M165" t="s">
        <v>41</v>
      </c>
      <c r="N165" t="s">
        <v>42</v>
      </c>
      <c r="O165" t="s">
        <v>599</v>
      </c>
      <c r="P165" t="s">
        <v>2783</v>
      </c>
      <c r="Q165">
        <v>6</v>
      </c>
      <c r="R165">
        <v>2903.58</v>
      </c>
      <c r="S165">
        <v>0.1</v>
      </c>
      <c r="T165" s="12">
        <f>S165</f>
        <v>0.1</v>
      </c>
      <c r="U165">
        <v>15679.33</v>
      </c>
      <c r="V165">
        <f>Q165*R165*(1-S165)</f>
        <v>15679.332</v>
      </c>
      <c r="W165">
        <v>12477.82</v>
      </c>
      <c r="X165">
        <v>3201.51</v>
      </c>
      <c r="Y165">
        <f>V165-W165</f>
        <v>3201.5120000000006</v>
      </c>
      <c r="Z165" s="12">
        <f>Y165/V165</f>
        <v>0.20418675999717339</v>
      </c>
      <c r="AA165" t="s">
        <v>111</v>
      </c>
      <c r="AB165" t="s">
        <v>103</v>
      </c>
      <c r="AC165" s="10" t="s">
        <v>2795</v>
      </c>
      <c r="AD165" t="s">
        <v>2782</v>
      </c>
      <c r="AE165" t="str">
        <f>PROPER(TRIM(AB165))</f>
        <v>Returned</v>
      </c>
      <c r="AS165" t="str">
        <f t="shared" si="4"/>
        <v/>
      </c>
    </row>
    <row r="166" spans="1:45">
      <c r="A166" t="s">
        <v>600</v>
      </c>
      <c r="B166" s="7">
        <v>45909</v>
      </c>
      <c r="C166" s="4">
        <v>45914</v>
      </c>
      <c r="D166">
        <f>C166-B166</f>
        <v>5</v>
      </c>
      <c r="E166" t="str">
        <f>TEXT(B166,"mmmm")</f>
        <v>September</v>
      </c>
      <c r="F166">
        <f>YEAR(B166)</f>
        <v>2025</v>
      </c>
      <c r="G166" t="s">
        <v>601</v>
      </c>
      <c r="H166" t="s">
        <v>118</v>
      </c>
      <c r="I166" t="s">
        <v>37</v>
      </c>
      <c r="J166" t="s">
        <v>38</v>
      </c>
      <c r="K166" t="s">
        <v>99</v>
      </c>
      <c r="L166" t="s">
        <v>100</v>
      </c>
      <c r="M166" t="s">
        <v>41</v>
      </c>
      <c r="N166" t="s">
        <v>158</v>
      </c>
      <c r="O166" t="s">
        <v>602</v>
      </c>
      <c r="P166" t="s">
        <v>31</v>
      </c>
      <c r="Q166">
        <v>1</v>
      </c>
      <c r="R166">
        <v>3154.42</v>
      </c>
      <c r="S166">
        <v>0.25</v>
      </c>
      <c r="T166" s="12">
        <f>S166</f>
        <v>0.25</v>
      </c>
      <c r="U166">
        <v>2365.8200000000002</v>
      </c>
      <c r="V166">
        <f>Q166*R166*(1-S166)</f>
        <v>2365.8150000000001</v>
      </c>
      <c r="W166">
        <v>1547.99</v>
      </c>
      <c r="X166">
        <v>817.83</v>
      </c>
      <c r="Y166">
        <f>V166-W166</f>
        <v>817.82500000000005</v>
      </c>
      <c r="Z166" s="12">
        <f>Y166/V166</f>
        <v>0.34568425679945392</v>
      </c>
      <c r="AA166" t="s">
        <v>32</v>
      </c>
      <c r="AB166" t="s">
        <v>33</v>
      </c>
      <c r="AC166" s="14" t="s">
        <v>2794</v>
      </c>
      <c r="AD166" t="s">
        <v>2782</v>
      </c>
      <c r="AE166" t="str">
        <f>PROPER(TRIM(AB166))</f>
        <v>Completed</v>
      </c>
      <c r="AS166" t="str">
        <f t="shared" si="4"/>
        <v/>
      </c>
    </row>
    <row r="167" spans="1:45">
      <c r="A167" t="s">
        <v>603</v>
      </c>
      <c r="B167" s="7">
        <v>45618</v>
      </c>
      <c r="C167" s="4">
        <v>45625</v>
      </c>
      <c r="D167">
        <f>C167-B167</f>
        <v>7</v>
      </c>
      <c r="E167" t="str">
        <f>TEXT(B167,"mmmm")</f>
        <v>November</v>
      </c>
      <c r="F167">
        <f>YEAR(B167)</f>
        <v>2024</v>
      </c>
      <c r="G167" t="s">
        <v>604</v>
      </c>
      <c r="H167" t="s">
        <v>36</v>
      </c>
      <c r="I167" t="s">
        <v>95</v>
      </c>
      <c r="J167" t="s">
        <v>38</v>
      </c>
      <c r="K167" t="s">
        <v>145</v>
      </c>
      <c r="L167" t="s">
        <v>146</v>
      </c>
      <c r="M167" t="s">
        <v>41</v>
      </c>
      <c r="N167" t="s">
        <v>66</v>
      </c>
      <c r="O167" t="s">
        <v>605</v>
      </c>
      <c r="P167" t="s">
        <v>59</v>
      </c>
      <c r="Q167">
        <v>4</v>
      </c>
      <c r="R167">
        <v>3422.99</v>
      </c>
      <c r="S167">
        <v>0.25</v>
      </c>
      <c r="T167" s="12">
        <f>S167</f>
        <v>0.25</v>
      </c>
      <c r="U167">
        <v>10268.969999999999</v>
      </c>
      <c r="V167">
        <f>Q167*R167*(1-S167)</f>
        <v>10268.969999999999</v>
      </c>
      <c r="W167">
        <v>6470.92</v>
      </c>
      <c r="X167">
        <v>3798.05</v>
      </c>
      <c r="Y167">
        <f>V167-W167</f>
        <v>3798.0499999999993</v>
      </c>
      <c r="Z167" s="12">
        <f>Y167/V167</f>
        <v>0.36985695741637181</v>
      </c>
      <c r="AA167" t="s">
        <v>32</v>
      </c>
      <c r="AB167" t="s">
        <v>33</v>
      </c>
      <c r="AC167" s="14" t="s">
        <v>2794</v>
      </c>
      <c r="AD167" t="s">
        <v>2782</v>
      </c>
      <c r="AE167" t="str">
        <f>PROPER(TRIM(AB167))</f>
        <v>Completed</v>
      </c>
      <c r="AS167" t="str">
        <f t="shared" si="4"/>
        <v/>
      </c>
    </row>
    <row r="168" spans="1:45">
      <c r="A168" t="s">
        <v>606</v>
      </c>
      <c r="B168" s="7">
        <v>45708</v>
      </c>
      <c r="C168" s="4">
        <v>45714</v>
      </c>
      <c r="D168">
        <f>C168-B168</f>
        <v>6</v>
      </c>
      <c r="E168" t="str">
        <f>TEXT(B168,"mmmm")</f>
        <v>February</v>
      </c>
      <c r="F168">
        <f>YEAR(B168)</f>
        <v>2025</v>
      </c>
      <c r="G168" t="s">
        <v>607</v>
      </c>
      <c r="H168" t="s">
        <v>23</v>
      </c>
      <c r="I168" t="s">
        <v>37</v>
      </c>
      <c r="J168" t="s">
        <v>63</v>
      </c>
      <c r="K168" t="s">
        <v>180</v>
      </c>
      <c r="L168" t="s">
        <v>181</v>
      </c>
      <c r="M168" t="s">
        <v>28</v>
      </c>
      <c r="N168" t="s">
        <v>91</v>
      </c>
      <c r="O168" t="s">
        <v>608</v>
      </c>
      <c r="P168" t="s">
        <v>50</v>
      </c>
      <c r="Q168">
        <v>1</v>
      </c>
      <c r="R168">
        <v>2557.85</v>
      </c>
      <c r="S168">
        <v>0.2</v>
      </c>
      <c r="T168" s="12">
        <f>S168</f>
        <v>0.2</v>
      </c>
      <c r="U168">
        <v>2046.28</v>
      </c>
      <c r="V168">
        <f>Q168*R168*(1-S168)</f>
        <v>2046.28</v>
      </c>
      <c r="W168">
        <v>1449.54</v>
      </c>
      <c r="X168">
        <v>596.74</v>
      </c>
      <c r="Y168">
        <f>V168-W168</f>
        <v>596.74</v>
      </c>
      <c r="Z168" s="12">
        <f>Y168/V168</f>
        <v>0.29162186992982386</v>
      </c>
      <c r="AA168" t="s">
        <v>32</v>
      </c>
      <c r="AB168" t="s">
        <v>33</v>
      </c>
      <c r="AC168" s="14" t="s">
        <v>2794</v>
      </c>
      <c r="AD168" t="s">
        <v>2782</v>
      </c>
      <c r="AE168" t="str">
        <f>PROPER(TRIM(AB168))</f>
        <v>Completed</v>
      </c>
      <c r="AS168" t="str">
        <f t="shared" si="4"/>
        <v/>
      </c>
    </row>
    <row r="169" spans="1:45">
      <c r="A169" t="s">
        <v>609</v>
      </c>
      <c r="B169" s="7">
        <v>45887</v>
      </c>
      <c r="C169" s="4">
        <v>45887</v>
      </c>
      <c r="D169">
        <f>C169-B169</f>
        <v>0</v>
      </c>
      <c r="E169" t="str">
        <f>TEXT(B169,"mmmm")</f>
        <v>August</v>
      </c>
      <c r="F169">
        <f>YEAR(B169)</f>
        <v>2025</v>
      </c>
      <c r="G169" t="s">
        <v>610</v>
      </c>
      <c r="H169" t="s">
        <v>53</v>
      </c>
      <c r="I169" t="s">
        <v>95</v>
      </c>
      <c r="J169" t="s">
        <v>54</v>
      </c>
      <c r="K169" t="s">
        <v>175</v>
      </c>
      <c r="L169" t="s">
        <v>176</v>
      </c>
      <c r="M169" t="s">
        <v>28</v>
      </c>
      <c r="N169" t="s">
        <v>124</v>
      </c>
      <c r="O169" t="s">
        <v>611</v>
      </c>
      <c r="P169" t="s">
        <v>50</v>
      </c>
      <c r="Q169">
        <v>9</v>
      </c>
      <c r="R169">
        <v>3030.93</v>
      </c>
      <c r="S169">
        <v>0.15</v>
      </c>
      <c r="T169" s="12">
        <f>S169</f>
        <v>0.15</v>
      </c>
      <c r="U169">
        <v>23186.61</v>
      </c>
      <c r="V169">
        <f>Q169*R169*(1-S169)</f>
        <v>23186.6145</v>
      </c>
      <c r="W169">
        <v>17906.54</v>
      </c>
      <c r="X169">
        <v>5280.07</v>
      </c>
      <c r="Y169">
        <f>V169-W169</f>
        <v>5280.0744999999988</v>
      </c>
      <c r="Z169" s="12">
        <f>Y169/V169</f>
        <v>0.22772080417345961</v>
      </c>
      <c r="AA169" t="s">
        <v>32</v>
      </c>
      <c r="AB169" t="s">
        <v>103</v>
      </c>
      <c r="AC169" s="14" t="s">
        <v>2794</v>
      </c>
      <c r="AD169" t="s">
        <v>2782</v>
      </c>
      <c r="AE169" t="str">
        <f>PROPER(TRIM(AB169))</f>
        <v>Returned</v>
      </c>
      <c r="AS169" t="str">
        <f t="shared" si="4"/>
        <v/>
      </c>
    </row>
    <row r="170" spans="1:45">
      <c r="A170" t="s">
        <v>612</v>
      </c>
      <c r="B170" s="7">
        <v>45677</v>
      </c>
      <c r="C170" s="4">
        <v>45680</v>
      </c>
      <c r="D170">
        <f>C170-B170</f>
        <v>3</v>
      </c>
      <c r="E170" t="str">
        <f>TEXT(B170,"mmmm")</f>
        <v>January</v>
      </c>
      <c r="F170">
        <f>YEAR(B170)</f>
        <v>2025</v>
      </c>
      <c r="G170" t="s">
        <v>613</v>
      </c>
      <c r="H170" t="s">
        <v>264</v>
      </c>
      <c r="I170" t="s">
        <v>24</v>
      </c>
      <c r="J170" t="s">
        <v>63</v>
      </c>
      <c r="K170" t="s">
        <v>64</v>
      </c>
      <c r="L170" t="s">
        <v>65</v>
      </c>
      <c r="M170" t="s">
        <v>74</v>
      </c>
      <c r="N170" t="s">
        <v>75</v>
      </c>
      <c r="O170" t="s">
        <v>614</v>
      </c>
      <c r="P170" t="s">
        <v>44</v>
      </c>
      <c r="Q170">
        <v>5</v>
      </c>
      <c r="R170">
        <v>639.27</v>
      </c>
      <c r="S170">
        <v>0.2</v>
      </c>
      <c r="T170" s="12">
        <f>S170</f>
        <v>0.2</v>
      </c>
      <c r="U170">
        <v>2557.08</v>
      </c>
      <c r="V170">
        <f>Q170*R170*(1-S170)</f>
        <v>2557.08</v>
      </c>
      <c r="W170">
        <v>2025.69</v>
      </c>
      <c r="X170">
        <v>531.39</v>
      </c>
      <c r="Y170">
        <f>V170-W170</f>
        <v>531.38999999999987</v>
      </c>
      <c r="Z170" s="12">
        <f>Y170/V170</f>
        <v>0.2078112534609789</v>
      </c>
      <c r="AA170" t="s">
        <v>32</v>
      </c>
      <c r="AB170" t="s">
        <v>68</v>
      </c>
      <c r="AC170" s="14" t="s">
        <v>2794</v>
      </c>
      <c r="AD170" t="s">
        <v>2782</v>
      </c>
      <c r="AE170" t="str">
        <f>PROPER(TRIM(AB170))</f>
        <v>Cancelled</v>
      </c>
      <c r="AS170" t="str">
        <f t="shared" si="4"/>
        <v/>
      </c>
    </row>
    <row r="171" spans="1:45">
      <c r="A171" t="s">
        <v>615</v>
      </c>
      <c r="B171" s="7">
        <v>45913</v>
      </c>
      <c r="C171" s="4">
        <v>45913</v>
      </c>
      <c r="D171">
        <f>C171-B171</f>
        <v>0</v>
      </c>
      <c r="E171" t="str">
        <f>TEXT(B171,"mmmm")</f>
        <v>September</v>
      </c>
      <c r="F171">
        <f>YEAR(B171)</f>
        <v>2025</v>
      </c>
      <c r="G171" t="s">
        <v>616</v>
      </c>
      <c r="H171" t="s">
        <v>162</v>
      </c>
      <c r="I171" t="s">
        <v>24</v>
      </c>
      <c r="J171" t="s">
        <v>38</v>
      </c>
      <c r="K171" t="s">
        <v>166</v>
      </c>
      <c r="L171" t="s">
        <v>167</v>
      </c>
      <c r="M171" t="s">
        <v>28</v>
      </c>
      <c r="N171" t="s">
        <v>48</v>
      </c>
      <c r="O171" t="s">
        <v>617</v>
      </c>
      <c r="P171" t="s">
        <v>59</v>
      </c>
      <c r="Q171">
        <v>8</v>
      </c>
      <c r="R171">
        <v>733.9</v>
      </c>
      <c r="S171">
        <v>0.05</v>
      </c>
      <c r="T171" s="12">
        <f>S171</f>
        <v>0.05</v>
      </c>
      <c r="U171">
        <v>5577.64</v>
      </c>
      <c r="V171">
        <f>Q171*R171*(1-S171)</f>
        <v>5577.6399999999994</v>
      </c>
      <c r="W171">
        <v>3541.29</v>
      </c>
      <c r="X171">
        <v>2036.35</v>
      </c>
      <c r="Y171">
        <f>V171-W171</f>
        <v>2036.3499999999995</v>
      </c>
      <c r="Z171" s="12">
        <f>Y171/V171</f>
        <v>0.36509168752375548</v>
      </c>
      <c r="AA171" t="s">
        <v>111</v>
      </c>
      <c r="AB171" t="s">
        <v>103</v>
      </c>
      <c r="AC171" s="14" t="s">
        <v>2794</v>
      </c>
      <c r="AD171" t="s">
        <v>2782</v>
      </c>
      <c r="AE171" t="str">
        <f>PROPER(TRIM(AB171))</f>
        <v>Returned</v>
      </c>
      <c r="AS171" t="str">
        <f t="shared" si="4"/>
        <v/>
      </c>
    </row>
    <row r="172" spans="1:45">
      <c r="A172" t="s">
        <v>618</v>
      </c>
      <c r="B172" s="7">
        <v>45907</v>
      </c>
      <c r="C172" s="4">
        <v>45915</v>
      </c>
      <c r="D172">
        <f>C172-B172</f>
        <v>8</v>
      </c>
      <c r="E172" t="str">
        <f>TEXT(B172,"mmmm")</f>
        <v>September</v>
      </c>
      <c r="F172">
        <f>YEAR(B172)</f>
        <v>2025</v>
      </c>
      <c r="G172" t="s">
        <v>619</v>
      </c>
      <c r="H172" t="s">
        <v>141</v>
      </c>
      <c r="I172" t="s">
        <v>90</v>
      </c>
      <c r="J172" t="s">
        <v>38</v>
      </c>
      <c r="K172" t="s">
        <v>145</v>
      </c>
      <c r="L172" t="s">
        <v>146</v>
      </c>
      <c r="M172" t="s">
        <v>74</v>
      </c>
      <c r="N172" t="s">
        <v>80</v>
      </c>
      <c r="O172" t="s">
        <v>620</v>
      </c>
      <c r="P172" t="s">
        <v>59</v>
      </c>
      <c r="Q172">
        <v>3</v>
      </c>
      <c r="R172">
        <v>1711.32</v>
      </c>
      <c r="S172">
        <v>0</v>
      </c>
      <c r="T172" s="12">
        <f>S172</f>
        <v>0</v>
      </c>
      <c r="U172">
        <v>5133.96</v>
      </c>
      <c r="V172">
        <f>Q172*R172*(1-S172)</f>
        <v>5133.96</v>
      </c>
      <c r="W172">
        <v>3930</v>
      </c>
      <c r="X172">
        <v>1203.96</v>
      </c>
      <c r="Y172">
        <f>V172-W172</f>
        <v>1203.96</v>
      </c>
      <c r="Z172" s="12">
        <f>Y172/V172</f>
        <v>0.23450903396208775</v>
      </c>
      <c r="AA172" t="s">
        <v>32</v>
      </c>
      <c r="AB172" t="s">
        <v>33</v>
      </c>
      <c r="AC172" s="14" t="s">
        <v>2794</v>
      </c>
      <c r="AD172" t="s">
        <v>2782</v>
      </c>
      <c r="AE172" t="str">
        <f>PROPER(TRIM(AB172))</f>
        <v>Completed</v>
      </c>
      <c r="AS172" t="str">
        <f t="shared" si="4"/>
        <v/>
      </c>
    </row>
    <row r="173" spans="1:45">
      <c r="A173" t="s">
        <v>621</v>
      </c>
      <c r="B173" s="7">
        <v>45711</v>
      </c>
      <c r="C173" s="4">
        <v>45713</v>
      </c>
      <c r="D173">
        <f>C173-B173</f>
        <v>2</v>
      </c>
      <c r="E173" t="str">
        <f>TEXT(B173,"mmmm")</f>
        <v>February</v>
      </c>
      <c r="F173">
        <f>YEAR(B173)</f>
        <v>2025</v>
      </c>
      <c r="G173" t="s">
        <v>622</v>
      </c>
      <c r="H173" t="s">
        <v>23</v>
      </c>
      <c r="I173" t="s">
        <v>90</v>
      </c>
      <c r="J173" t="s">
        <v>38</v>
      </c>
      <c r="K173" t="s">
        <v>145</v>
      </c>
      <c r="L173" t="s">
        <v>146</v>
      </c>
      <c r="M173" t="s">
        <v>28</v>
      </c>
      <c r="N173" t="s">
        <v>91</v>
      </c>
      <c r="O173" t="s">
        <v>623</v>
      </c>
      <c r="P173" t="s">
        <v>44</v>
      </c>
      <c r="Q173">
        <v>5</v>
      </c>
      <c r="R173">
        <v>4246.2700000000004</v>
      </c>
      <c r="S173">
        <v>0.25</v>
      </c>
      <c r="T173" s="12">
        <f>S173</f>
        <v>0.25</v>
      </c>
      <c r="U173">
        <v>15923.51</v>
      </c>
      <c r="V173">
        <f>Q173*R173*(1-S173)</f>
        <v>15923.512500000001</v>
      </c>
      <c r="W173">
        <v>11291.8</v>
      </c>
      <c r="X173">
        <v>4631.71</v>
      </c>
      <c r="Y173">
        <f>V173-W173</f>
        <v>4631.7125000000015</v>
      </c>
      <c r="Z173" s="12">
        <f>Y173/V173</f>
        <v>0.29087253832971849</v>
      </c>
      <c r="AA173" t="s">
        <v>32</v>
      </c>
      <c r="AB173" t="s">
        <v>33</v>
      </c>
      <c r="AC173" s="14" t="s">
        <v>2794</v>
      </c>
      <c r="AD173" t="s">
        <v>2782</v>
      </c>
      <c r="AE173" t="str">
        <f>PROPER(TRIM(AB173))</f>
        <v>Completed</v>
      </c>
      <c r="AS173" t="str">
        <f t="shared" si="4"/>
        <v/>
      </c>
    </row>
    <row r="174" spans="1:45">
      <c r="A174" t="s">
        <v>624</v>
      </c>
      <c r="B174" s="7">
        <v>45871</v>
      </c>
      <c r="C174" s="4">
        <v>45879</v>
      </c>
      <c r="D174">
        <f>C174-B174</f>
        <v>8</v>
      </c>
      <c r="E174" t="str">
        <f>TEXT(B174,"mmmm")</f>
        <v>August</v>
      </c>
      <c r="F174">
        <f>YEAR(B174)</f>
        <v>2025</v>
      </c>
      <c r="G174" t="s">
        <v>625</v>
      </c>
      <c r="H174" t="s">
        <v>23</v>
      </c>
      <c r="I174" t="s">
        <v>90</v>
      </c>
      <c r="J174" t="s">
        <v>25</v>
      </c>
      <c r="K174" t="s">
        <v>350</v>
      </c>
      <c r="L174" t="s">
        <v>351</v>
      </c>
      <c r="M174" t="s">
        <v>41</v>
      </c>
      <c r="N174" t="s">
        <v>57</v>
      </c>
      <c r="O174" t="s">
        <v>626</v>
      </c>
      <c r="P174" t="s">
        <v>44</v>
      </c>
      <c r="Q174">
        <v>9</v>
      </c>
      <c r="R174">
        <v>2962.62</v>
      </c>
      <c r="S174">
        <v>0.1</v>
      </c>
      <c r="T174" s="12">
        <f>S174</f>
        <v>0.1</v>
      </c>
      <c r="U174">
        <v>23997.22</v>
      </c>
      <c r="V174">
        <f>Q174*R174*(1-S174)</f>
        <v>23997.221999999998</v>
      </c>
      <c r="W174">
        <v>16134.63</v>
      </c>
      <c r="X174">
        <v>7862.59</v>
      </c>
      <c r="Y174">
        <f>V174-W174</f>
        <v>7862.5919999999987</v>
      </c>
      <c r="Z174" s="12">
        <f>Y174/V174</f>
        <v>0.32764592501582057</v>
      </c>
      <c r="AA174" t="s">
        <v>102</v>
      </c>
      <c r="AB174" t="s">
        <v>103</v>
      </c>
      <c r="AC174" s="14" t="s">
        <v>2794</v>
      </c>
      <c r="AD174" t="s">
        <v>2782</v>
      </c>
      <c r="AE174" t="str">
        <f>PROPER(TRIM(AB174))</f>
        <v>Returned</v>
      </c>
      <c r="AS174" t="str">
        <f t="shared" si="4"/>
        <v/>
      </c>
    </row>
    <row r="175" spans="1:45">
      <c r="A175" t="s">
        <v>627</v>
      </c>
      <c r="B175" s="7">
        <v>45414</v>
      </c>
      <c r="C175" s="4">
        <v>45420</v>
      </c>
      <c r="D175">
        <f>C175-B175</f>
        <v>6</v>
      </c>
      <c r="E175" t="str">
        <f>TEXT(B175,"mmmm")</f>
        <v>May</v>
      </c>
      <c r="F175">
        <f>YEAR(B175)</f>
        <v>2024</v>
      </c>
      <c r="G175" t="s">
        <v>628</v>
      </c>
      <c r="H175" t="s">
        <v>114</v>
      </c>
      <c r="I175" t="s">
        <v>95</v>
      </c>
      <c r="J175" t="s">
        <v>25</v>
      </c>
      <c r="K175" t="s">
        <v>122</v>
      </c>
      <c r="L175" t="s">
        <v>123</v>
      </c>
      <c r="M175" t="s">
        <v>74</v>
      </c>
      <c r="N175" t="s">
        <v>80</v>
      </c>
      <c r="O175" t="s">
        <v>629</v>
      </c>
      <c r="P175" t="s">
        <v>31</v>
      </c>
      <c r="Q175">
        <v>1</v>
      </c>
      <c r="R175">
        <v>2312.25</v>
      </c>
      <c r="S175">
        <v>0.25</v>
      </c>
      <c r="T175" s="12">
        <f>S175</f>
        <v>0.25</v>
      </c>
      <c r="U175">
        <v>1734.19</v>
      </c>
      <c r="V175">
        <f>Q175*R175*(1-S175)</f>
        <v>1734.1875</v>
      </c>
      <c r="W175">
        <v>1386.07</v>
      </c>
      <c r="X175">
        <v>348.12</v>
      </c>
      <c r="Y175">
        <f>V175-W175</f>
        <v>348.11750000000006</v>
      </c>
      <c r="Z175" s="12">
        <f>Y175/V175</f>
        <v>0.20073809781237614</v>
      </c>
      <c r="AA175" t="s">
        <v>32</v>
      </c>
      <c r="AB175" t="s">
        <v>33</v>
      </c>
      <c r="AC175" s="14" t="s">
        <v>2794</v>
      </c>
      <c r="AD175" t="s">
        <v>2782</v>
      </c>
      <c r="AE175" t="str">
        <f>PROPER(TRIM(AB175))</f>
        <v>Completed</v>
      </c>
      <c r="AS175" t="str">
        <f t="shared" si="4"/>
        <v/>
      </c>
    </row>
    <row r="176" spans="1:45">
      <c r="A176" t="s">
        <v>630</v>
      </c>
      <c r="B176" s="7">
        <v>45928</v>
      </c>
      <c r="C176" s="4">
        <v>45934</v>
      </c>
      <c r="D176">
        <f>C176-B176</f>
        <v>6</v>
      </c>
      <c r="E176" t="str">
        <f>TEXT(B176,"mmmm")</f>
        <v>September</v>
      </c>
      <c r="F176">
        <f>YEAR(B176)</f>
        <v>2025</v>
      </c>
      <c r="G176" t="s">
        <v>631</v>
      </c>
      <c r="H176" t="s">
        <v>23</v>
      </c>
      <c r="I176" t="s">
        <v>37</v>
      </c>
      <c r="J176" t="s">
        <v>54</v>
      </c>
      <c r="K176" t="s">
        <v>175</v>
      </c>
      <c r="L176" t="s">
        <v>176</v>
      </c>
      <c r="M176" t="s">
        <v>41</v>
      </c>
      <c r="N176" t="s">
        <v>158</v>
      </c>
      <c r="O176" t="s">
        <v>632</v>
      </c>
      <c r="P176" t="s">
        <v>50</v>
      </c>
      <c r="Q176">
        <v>6</v>
      </c>
      <c r="R176">
        <v>1620.53</v>
      </c>
      <c r="S176">
        <v>0.15</v>
      </c>
      <c r="T176" s="12">
        <f>S176</f>
        <v>0.15</v>
      </c>
      <c r="U176">
        <v>8264.7000000000007</v>
      </c>
      <c r="V176">
        <f>Q176*R176*(1-S176)</f>
        <v>8264.7029999999995</v>
      </c>
      <c r="W176">
        <v>4768.75</v>
      </c>
      <c r="X176">
        <v>3495.95</v>
      </c>
      <c r="Y176">
        <f>V176-W176</f>
        <v>3495.9529999999995</v>
      </c>
      <c r="Z176" s="12">
        <f>Y176/V176</f>
        <v>0.42299801940856191</v>
      </c>
      <c r="AA176" t="s">
        <v>111</v>
      </c>
      <c r="AB176" t="s">
        <v>103</v>
      </c>
      <c r="AC176" s="14" t="s">
        <v>2794</v>
      </c>
      <c r="AD176" t="s">
        <v>2782</v>
      </c>
      <c r="AE176" t="str">
        <f>PROPER(TRIM(AB176))</f>
        <v>Returned</v>
      </c>
      <c r="AS176" t="str">
        <f t="shared" si="4"/>
        <v/>
      </c>
    </row>
    <row r="177" spans="1:45">
      <c r="A177" t="s">
        <v>633</v>
      </c>
      <c r="B177" s="7">
        <v>45318</v>
      </c>
      <c r="C177" s="4">
        <v>45325</v>
      </c>
      <c r="D177">
        <f>C177-B177</f>
        <v>7</v>
      </c>
      <c r="E177" t="str">
        <f>TEXT(B177,"mmmm")</f>
        <v>January</v>
      </c>
      <c r="F177">
        <f>YEAR(B177)</f>
        <v>2024</v>
      </c>
      <c r="G177" t="s">
        <v>634</v>
      </c>
      <c r="H177" t="s">
        <v>53</v>
      </c>
      <c r="I177" t="s">
        <v>37</v>
      </c>
      <c r="J177" t="s">
        <v>38</v>
      </c>
      <c r="K177" t="s">
        <v>145</v>
      </c>
      <c r="L177" t="s">
        <v>146</v>
      </c>
      <c r="M177" t="s">
        <v>74</v>
      </c>
      <c r="N177" t="s">
        <v>274</v>
      </c>
      <c r="O177" t="s">
        <v>635</v>
      </c>
      <c r="P177" t="s">
        <v>44</v>
      </c>
      <c r="Q177">
        <v>7</v>
      </c>
      <c r="R177">
        <v>2673.42</v>
      </c>
      <c r="S177">
        <v>0.15</v>
      </c>
      <c r="T177" s="12">
        <f>S177</f>
        <v>0.15</v>
      </c>
      <c r="U177">
        <v>15906.85</v>
      </c>
      <c r="V177">
        <f>Q177*R177*(1-S177)</f>
        <v>15906.849000000002</v>
      </c>
      <c r="W177">
        <v>11014.46</v>
      </c>
      <c r="X177">
        <v>4892.3900000000003</v>
      </c>
      <c r="Y177">
        <f>V177-W177</f>
        <v>4892.3890000000029</v>
      </c>
      <c r="Z177" s="12">
        <f>Y177/V177</f>
        <v>0.30756493633654297</v>
      </c>
      <c r="AA177" t="s">
        <v>32</v>
      </c>
      <c r="AB177" t="s">
        <v>103</v>
      </c>
      <c r="AC177" s="14" t="s">
        <v>2794</v>
      </c>
      <c r="AD177" t="s">
        <v>2782</v>
      </c>
      <c r="AE177" t="str">
        <f>PROPER(TRIM(AB177))</f>
        <v>Returned</v>
      </c>
      <c r="AS177" t="str">
        <f t="shared" si="4"/>
        <v/>
      </c>
    </row>
    <row r="178" spans="1:45">
      <c r="A178" t="s">
        <v>636</v>
      </c>
      <c r="B178" s="7">
        <v>45734</v>
      </c>
      <c r="C178" s="4">
        <v>45742</v>
      </c>
      <c r="D178">
        <f>C178-B178</f>
        <v>8</v>
      </c>
      <c r="E178" t="str">
        <f>TEXT(B178,"mmmm")</f>
        <v>March</v>
      </c>
      <c r="F178">
        <f>YEAR(B178)</f>
        <v>2025</v>
      </c>
      <c r="G178" t="s">
        <v>637</v>
      </c>
      <c r="H178" t="s">
        <v>71</v>
      </c>
      <c r="I178" t="s">
        <v>90</v>
      </c>
      <c r="J178" t="s">
        <v>38</v>
      </c>
      <c r="K178" t="s">
        <v>228</v>
      </c>
      <c r="L178" t="s">
        <v>229</v>
      </c>
      <c r="M178" t="s">
        <v>41</v>
      </c>
      <c r="N178" t="s">
        <v>158</v>
      </c>
      <c r="O178" t="s">
        <v>638</v>
      </c>
      <c r="P178" t="s">
        <v>59</v>
      </c>
      <c r="Q178">
        <v>8</v>
      </c>
      <c r="R178">
        <v>3563.09</v>
      </c>
      <c r="S178">
        <v>0.15</v>
      </c>
      <c r="T178" s="12">
        <f>S178</f>
        <v>0.15</v>
      </c>
      <c r="U178">
        <v>24229.01</v>
      </c>
      <c r="V178">
        <f>Q178*R178*(1-S178)</f>
        <v>24229.011999999999</v>
      </c>
      <c r="W178">
        <v>13910.64</v>
      </c>
      <c r="X178">
        <v>10318.370000000001</v>
      </c>
      <c r="Y178">
        <f>V178-W178</f>
        <v>10318.371999999999</v>
      </c>
      <c r="Z178" s="12">
        <f>Y178/V178</f>
        <v>0.42586845885420338</v>
      </c>
      <c r="AA178" t="s">
        <v>32</v>
      </c>
      <c r="AB178" t="s">
        <v>33</v>
      </c>
      <c r="AC178" s="14" t="s">
        <v>2794</v>
      </c>
      <c r="AD178" t="s">
        <v>2782</v>
      </c>
      <c r="AE178" t="str">
        <f>PROPER(TRIM(AB178))</f>
        <v>Completed</v>
      </c>
      <c r="AS178" t="str">
        <f t="shared" si="4"/>
        <v/>
      </c>
    </row>
    <row r="179" spans="1:45">
      <c r="A179" t="s">
        <v>639</v>
      </c>
      <c r="B179" s="7">
        <v>45444</v>
      </c>
      <c r="C179" s="4">
        <v>45357</v>
      </c>
      <c r="D179" s="10">
        <f>C179-B179</f>
        <v>-87</v>
      </c>
      <c r="E179" t="str">
        <f>TEXT(B179,"mmmm")</f>
        <v>June</v>
      </c>
      <c r="F179">
        <f>YEAR(B179)</f>
        <v>2024</v>
      </c>
      <c r="G179" t="s">
        <v>640</v>
      </c>
      <c r="H179" t="s">
        <v>132</v>
      </c>
      <c r="I179" t="s">
        <v>95</v>
      </c>
      <c r="J179" t="s">
        <v>2783</v>
      </c>
      <c r="K179" t="s">
        <v>145</v>
      </c>
      <c r="L179" t="s">
        <v>146</v>
      </c>
      <c r="M179" t="s">
        <v>28</v>
      </c>
      <c r="N179" t="s">
        <v>48</v>
      </c>
      <c r="O179" t="s">
        <v>641</v>
      </c>
      <c r="P179" t="s">
        <v>44</v>
      </c>
      <c r="Q179">
        <v>8</v>
      </c>
      <c r="R179">
        <v>3879.95</v>
      </c>
      <c r="S179">
        <v>0</v>
      </c>
      <c r="T179" s="12">
        <f>S179</f>
        <v>0</v>
      </c>
      <c r="U179">
        <v>31039.599999999999</v>
      </c>
      <c r="V179">
        <f>Q179*R179*(1-S179)</f>
        <v>31039.599999999999</v>
      </c>
      <c r="W179">
        <v>20866.72</v>
      </c>
      <c r="X179">
        <v>10172.879999999999</v>
      </c>
      <c r="Y179">
        <f>V179-W179</f>
        <v>10172.879999999997</v>
      </c>
      <c r="Z179" s="12">
        <f>Y179/V179</f>
        <v>0.32773875952009685</v>
      </c>
      <c r="AA179" t="s">
        <v>32</v>
      </c>
      <c r="AB179" t="s">
        <v>33</v>
      </c>
      <c r="AC179" s="10" t="s">
        <v>2796</v>
      </c>
      <c r="AD179" t="s">
        <v>2782</v>
      </c>
      <c r="AE179" t="str">
        <f>PROPER(TRIM(AB179))</f>
        <v>Completed</v>
      </c>
      <c r="AS179" t="str">
        <f t="shared" si="4"/>
        <v/>
      </c>
    </row>
    <row r="180" spans="1:45">
      <c r="A180" t="s">
        <v>642</v>
      </c>
      <c r="B180" s="7">
        <v>45565</v>
      </c>
      <c r="C180" s="4">
        <v>45565</v>
      </c>
      <c r="D180">
        <f>C180-B180</f>
        <v>0</v>
      </c>
      <c r="E180" t="str">
        <f>TEXT(B180,"mmmm")</f>
        <v>September</v>
      </c>
      <c r="F180">
        <f>YEAR(B180)</f>
        <v>2024</v>
      </c>
      <c r="G180" t="s">
        <v>643</v>
      </c>
      <c r="H180" t="s">
        <v>47</v>
      </c>
      <c r="I180" t="s">
        <v>90</v>
      </c>
      <c r="J180" t="s">
        <v>54</v>
      </c>
      <c r="K180" t="s">
        <v>55</v>
      </c>
      <c r="L180" t="s">
        <v>56</v>
      </c>
      <c r="M180" t="s">
        <v>28</v>
      </c>
      <c r="N180" t="s">
        <v>48</v>
      </c>
      <c r="O180" t="s">
        <v>644</v>
      </c>
      <c r="P180" t="s">
        <v>59</v>
      </c>
      <c r="Q180">
        <v>4</v>
      </c>
      <c r="R180">
        <v>3281.74</v>
      </c>
      <c r="S180">
        <v>0</v>
      </c>
      <c r="T180" s="12">
        <f>S180</f>
        <v>0</v>
      </c>
      <c r="U180">
        <v>13126.96</v>
      </c>
      <c r="V180">
        <f>Q180*R180*(1-S180)</f>
        <v>13126.96</v>
      </c>
      <c r="W180">
        <v>10732.44</v>
      </c>
      <c r="X180">
        <v>2394.52</v>
      </c>
      <c r="Y180">
        <f>V180-W180</f>
        <v>2394.5199999999986</v>
      </c>
      <c r="Z180" s="12">
        <f>Y180/V180</f>
        <v>0.18241237879905162</v>
      </c>
      <c r="AA180" t="s">
        <v>32</v>
      </c>
      <c r="AB180" t="s">
        <v>33</v>
      </c>
      <c r="AC180" s="14" t="s">
        <v>2794</v>
      </c>
      <c r="AD180" t="s">
        <v>2782</v>
      </c>
      <c r="AE180" t="str">
        <f>PROPER(TRIM(AB180))</f>
        <v>Completed</v>
      </c>
      <c r="AS180" t="str">
        <f t="shared" si="4"/>
        <v/>
      </c>
    </row>
    <row r="181" spans="1:45">
      <c r="A181" t="s">
        <v>645</v>
      </c>
      <c r="B181" s="7">
        <v>45366</v>
      </c>
      <c r="C181" s="4">
        <v>45370</v>
      </c>
      <c r="D181">
        <f>C181-B181</f>
        <v>4</v>
      </c>
      <c r="E181" t="str">
        <f>TEXT(B181,"mmmm")</f>
        <v>March</v>
      </c>
      <c r="F181">
        <f>YEAR(B181)</f>
        <v>2024</v>
      </c>
      <c r="G181" t="s">
        <v>646</v>
      </c>
      <c r="H181" t="s">
        <v>62</v>
      </c>
      <c r="I181" t="s">
        <v>37</v>
      </c>
      <c r="J181" t="s">
        <v>54</v>
      </c>
      <c r="K181" t="s">
        <v>247</v>
      </c>
      <c r="L181" t="s">
        <v>248</v>
      </c>
      <c r="M181" t="s">
        <v>41</v>
      </c>
      <c r="N181" t="s">
        <v>57</v>
      </c>
      <c r="O181" t="s">
        <v>647</v>
      </c>
      <c r="P181" t="s">
        <v>59</v>
      </c>
      <c r="Q181">
        <v>4</v>
      </c>
      <c r="R181">
        <v>3186.3</v>
      </c>
      <c r="S181">
        <v>0.25</v>
      </c>
      <c r="T181" s="12">
        <f>S181</f>
        <v>0.25</v>
      </c>
      <c r="U181">
        <v>9558.9</v>
      </c>
      <c r="V181">
        <f>Q181*R181*(1-S181)</f>
        <v>9558.9000000000015</v>
      </c>
      <c r="W181">
        <v>5516.76</v>
      </c>
      <c r="X181">
        <v>4042.14</v>
      </c>
      <c r="Y181">
        <f>V181-W181</f>
        <v>4042.1400000000012</v>
      </c>
      <c r="Z181" s="12">
        <f>Y181/V181</f>
        <v>0.42286664783604816</v>
      </c>
      <c r="AA181" t="s">
        <v>102</v>
      </c>
      <c r="AB181" t="s">
        <v>103</v>
      </c>
      <c r="AC181" s="14" t="s">
        <v>2794</v>
      </c>
      <c r="AD181" t="s">
        <v>2782</v>
      </c>
      <c r="AE181" t="str">
        <f>PROPER(TRIM(AB181))</f>
        <v>Returned</v>
      </c>
      <c r="AS181" t="str">
        <f t="shared" si="4"/>
        <v/>
      </c>
    </row>
    <row r="182" spans="1:45">
      <c r="A182" t="s">
        <v>648</v>
      </c>
      <c r="B182" s="7">
        <v>45530</v>
      </c>
      <c r="C182" s="4">
        <v>45530</v>
      </c>
      <c r="D182">
        <f>C182-B182</f>
        <v>0</v>
      </c>
      <c r="E182" t="str">
        <f>TEXT(B182,"mmmm")</f>
        <v>August</v>
      </c>
      <c r="F182">
        <f>YEAR(B182)</f>
        <v>2024</v>
      </c>
      <c r="G182" t="s">
        <v>649</v>
      </c>
      <c r="H182" t="s">
        <v>36</v>
      </c>
      <c r="I182" t="s">
        <v>95</v>
      </c>
      <c r="J182" t="s">
        <v>25</v>
      </c>
      <c r="K182" t="s">
        <v>136</v>
      </c>
      <c r="L182" t="s">
        <v>137</v>
      </c>
      <c r="M182" t="s">
        <v>28</v>
      </c>
      <c r="N182" t="s">
        <v>153</v>
      </c>
      <c r="O182" t="s">
        <v>650</v>
      </c>
      <c r="P182" t="s">
        <v>50</v>
      </c>
      <c r="Q182">
        <v>7</v>
      </c>
      <c r="R182">
        <v>844.59</v>
      </c>
      <c r="S182">
        <v>0.1</v>
      </c>
      <c r="T182" s="12">
        <f>S182</f>
        <v>0.1</v>
      </c>
      <c r="U182">
        <v>5320.92</v>
      </c>
      <c r="V182">
        <f>Q182*R182*(1-S182)</f>
        <v>5320.9170000000004</v>
      </c>
      <c r="W182">
        <v>3041.5</v>
      </c>
      <c r="X182">
        <v>2279.42</v>
      </c>
      <c r="Y182">
        <f>V182-W182</f>
        <v>2279.4170000000004</v>
      </c>
      <c r="Z182" s="12">
        <f>Y182/V182</f>
        <v>0.42838800154183954</v>
      </c>
      <c r="AA182" t="s">
        <v>32</v>
      </c>
      <c r="AB182" t="s">
        <v>33</v>
      </c>
      <c r="AC182" s="14" t="s">
        <v>2794</v>
      </c>
      <c r="AD182" t="s">
        <v>2782</v>
      </c>
      <c r="AE182" t="str">
        <f>PROPER(TRIM(AB182))</f>
        <v>Completed</v>
      </c>
      <c r="AS182" t="str">
        <f t="shared" si="4"/>
        <v/>
      </c>
    </row>
    <row r="183" spans="1:45">
      <c r="A183" t="s">
        <v>651</v>
      </c>
      <c r="B183" s="7">
        <v>45909</v>
      </c>
      <c r="C183" s="4">
        <v>45910</v>
      </c>
      <c r="D183">
        <f>C183-B183</f>
        <v>1</v>
      </c>
      <c r="E183" t="str">
        <f>TEXT(B183,"mmmm")</f>
        <v>September</v>
      </c>
      <c r="F183">
        <f>YEAR(B183)</f>
        <v>2025</v>
      </c>
      <c r="G183" t="s">
        <v>652</v>
      </c>
      <c r="H183" t="s">
        <v>114</v>
      </c>
      <c r="I183" t="s">
        <v>95</v>
      </c>
      <c r="J183" t="s">
        <v>54</v>
      </c>
      <c r="K183" t="s">
        <v>247</v>
      </c>
      <c r="L183" t="s">
        <v>248</v>
      </c>
      <c r="M183" t="s">
        <v>28</v>
      </c>
      <c r="N183" t="s">
        <v>48</v>
      </c>
      <c r="O183" t="s">
        <v>653</v>
      </c>
      <c r="P183" t="s">
        <v>31</v>
      </c>
      <c r="Q183">
        <v>4</v>
      </c>
      <c r="R183">
        <v>2551.4499999999998</v>
      </c>
      <c r="S183">
        <v>0</v>
      </c>
      <c r="T183" s="12">
        <f>S183</f>
        <v>0</v>
      </c>
      <c r="U183">
        <v>10205.799999999999</v>
      </c>
      <c r="V183">
        <f>Q183*R183*(1-S183)</f>
        <v>10205.799999999999</v>
      </c>
      <c r="W183">
        <v>5986.31</v>
      </c>
      <c r="X183">
        <v>4219.49</v>
      </c>
      <c r="Y183">
        <f>V183-W183</f>
        <v>4219.4899999999989</v>
      </c>
      <c r="Z183" s="12">
        <f>Y183/V183</f>
        <v>0.41344039663720622</v>
      </c>
      <c r="AA183" t="s">
        <v>32</v>
      </c>
      <c r="AB183" t="s">
        <v>33</v>
      </c>
      <c r="AC183" s="14" t="s">
        <v>2794</v>
      </c>
      <c r="AD183" t="s">
        <v>2782</v>
      </c>
      <c r="AE183" t="str">
        <f>PROPER(TRIM(AB183))</f>
        <v>Completed</v>
      </c>
      <c r="AS183" t="str">
        <f t="shared" si="4"/>
        <v/>
      </c>
    </row>
    <row r="184" spans="1:45">
      <c r="A184" t="s">
        <v>654</v>
      </c>
      <c r="B184" s="7">
        <v>45581</v>
      </c>
      <c r="C184" s="4">
        <v>45581</v>
      </c>
      <c r="D184">
        <f>C184-B184</f>
        <v>0</v>
      </c>
      <c r="E184" t="str">
        <f>TEXT(B184,"mmmm")</f>
        <v>October</v>
      </c>
      <c r="F184">
        <f>YEAR(B184)</f>
        <v>2024</v>
      </c>
      <c r="G184" t="s">
        <v>655</v>
      </c>
      <c r="H184" t="s">
        <v>62</v>
      </c>
      <c r="I184" t="s">
        <v>95</v>
      </c>
      <c r="J184" t="s">
        <v>38</v>
      </c>
      <c r="K184" t="s">
        <v>145</v>
      </c>
      <c r="L184" t="s">
        <v>146</v>
      </c>
      <c r="M184" t="s">
        <v>74</v>
      </c>
      <c r="N184" t="s">
        <v>274</v>
      </c>
      <c r="O184" t="s">
        <v>656</v>
      </c>
      <c r="P184" t="s">
        <v>59</v>
      </c>
      <c r="Q184">
        <v>7</v>
      </c>
      <c r="R184">
        <v>775.77</v>
      </c>
      <c r="S184">
        <v>0</v>
      </c>
      <c r="T184" s="12">
        <f>S184</f>
        <v>0</v>
      </c>
      <c r="U184">
        <v>5430.39</v>
      </c>
      <c r="V184">
        <f>Q184*R184*(1-S184)</f>
        <v>5430.3899999999994</v>
      </c>
      <c r="W184">
        <v>3707.66</v>
      </c>
      <c r="X184">
        <v>1722.73</v>
      </c>
      <c r="Y184">
        <f>V184-W184</f>
        <v>1722.7299999999996</v>
      </c>
      <c r="Z184" s="12">
        <f>Y184/V184</f>
        <v>0.31723872502711586</v>
      </c>
      <c r="AA184" t="s">
        <v>32</v>
      </c>
      <c r="AB184" t="s">
        <v>33</v>
      </c>
      <c r="AC184" s="14" t="s">
        <v>2794</v>
      </c>
      <c r="AD184" t="s">
        <v>2782</v>
      </c>
      <c r="AE184" t="str">
        <f>PROPER(TRIM(AB184))</f>
        <v>Completed</v>
      </c>
      <c r="AS184" t="str">
        <f t="shared" si="4"/>
        <v/>
      </c>
    </row>
    <row r="185" spans="1:45">
      <c r="A185" t="s">
        <v>657</v>
      </c>
      <c r="B185" s="7">
        <v>45832</v>
      </c>
      <c r="C185" s="4">
        <v>45835</v>
      </c>
      <c r="D185">
        <f>C185-B185</f>
        <v>3</v>
      </c>
      <c r="E185" t="str">
        <f>TEXT(B185,"mmmm")</f>
        <v>June</v>
      </c>
      <c r="F185">
        <f>YEAR(B185)</f>
        <v>2025</v>
      </c>
      <c r="G185" t="s">
        <v>658</v>
      </c>
      <c r="H185" t="s">
        <v>71</v>
      </c>
      <c r="I185" t="s">
        <v>95</v>
      </c>
      <c r="J185" t="s">
        <v>54</v>
      </c>
      <c r="K185" t="s">
        <v>55</v>
      </c>
      <c r="L185" t="s">
        <v>56</v>
      </c>
      <c r="M185" t="s">
        <v>74</v>
      </c>
      <c r="N185" t="s">
        <v>80</v>
      </c>
      <c r="O185" t="s">
        <v>659</v>
      </c>
      <c r="P185" t="s">
        <v>59</v>
      </c>
      <c r="Q185">
        <v>7</v>
      </c>
      <c r="R185">
        <v>2304.86</v>
      </c>
      <c r="S185">
        <v>0.2</v>
      </c>
      <c r="T185" s="12">
        <f>S185</f>
        <v>0.2</v>
      </c>
      <c r="U185">
        <v>12907.22</v>
      </c>
      <c r="V185">
        <f>Q185*R185*(1-S185)</f>
        <v>12907.216</v>
      </c>
      <c r="W185">
        <v>8327.89</v>
      </c>
      <c r="X185">
        <v>4579.33</v>
      </c>
      <c r="Y185">
        <f>V185-W185</f>
        <v>4579.3260000000009</v>
      </c>
      <c r="Z185" s="12">
        <f>Y185/V185</f>
        <v>0.3547880503433119</v>
      </c>
      <c r="AA185" t="s">
        <v>32</v>
      </c>
      <c r="AB185" t="s">
        <v>103</v>
      </c>
      <c r="AC185" s="14" t="s">
        <v>2794</v>
      </c>
      <c r="AD185" t="s">
        <v>2782</v>
      </c>
      <c r="AE185" t="str">
        <f>PROPER(TRIM(AB185))</f>
        <v>Returned</v>
      </c>
      <c r="AS185" t="str">
        <f t="shared" si="4"/>
        <v/>
      </c>
    </row>
    <row r="186" spans="1:45">
      <c r="A186" t="s">
        <v>660</v>
      </c>
      <c r="B186" s="7">
        <v>45384</v>
      </c>
      <c r="C186" s="4">
        <v>45388</v>
      </c>
      <c r="D186">
        <f>C186-B186</f>
        <v>4</v>
      </c>
      <c r="E186" t="str">
        <f>TEXT(B186,"mmmm")</f>
        <v>April</v>
      </c>
      <c r="F186">
        <f>YEAR(B186)</f>
        <v>2024</v>
      </c>
      <c r="G186" t="s">
        <v>661</v>
      </c>
      <c r="H186" t="s">
        <v>71</v>
      </c>
      <c r="I186" t="s">
        <v>90</v>
      </c>
      <c r="J186" t="s">
        <v>63</v>
      </c>
      <c r="K186" t="s">
        <v>72</v>
      </c>
      <c r="L186" t="s">
        <v>73</v>
      </c>
      <c r="M186" t="s">
        <v>41</v>
      </c>
      <c r="N186" t="s">
        <v>158</v>
      </c>
      <c r="O186" t="s">
        <v>662</v>
      </c>
      <c r="P186" t="s">
        <v>59</v>
      </c>
      <c r="Q186">
        <v>2</v>
      </c>
      <c r="R186">
        <v>888.98</v>
      </c>
      <c r="S186">
        <v>0</v>
      </c>
      <c r="T186" s="12">
        <f>S186</f>
        <v>0</v>
      </c>
      <c r="U186">
        <v>1777.96</v>
      </c>
      <c r="V186">
        <f>Q186*R186*(1-S186)</f>
        <v>1777.96</v>
      </c>
      <c r="W186">
        <v>1021.16</v>
      </c>
      <c r="X186">
        <v>756.8</v>
      </c>
      <c r="Y186">
        <f>V186-W186</f>
        <v>756.80000000000007</v>
      </c>
      <c r="Z186" s="12">
        <f>Y186/V186</f>
        <v>0.42565637022205227</v>
      </c>
      <c r="AA186" t="s">
        <v>102</v>
      </c>
      <c r="AB186" t="s">
        <v>103</v>
      </c>
      <c r="AC186" s="14" t="s">
        <v>2794</v>
      </c>
      <c r="AD186" t="s">
        <v>2782</v>
      </c>
      <c r="AE186" t="str">
        <f>PROPER(TRIM(AB186))</f>
        <v>Returned</v>
      </c>
      <c r="AS186" t="str">
        <f t="shared" si="4"/>
        <v/>
      </c>
    </row>
    <row r="187" spans="1:45">
      <c r="A187" t="s">
        <v>663</v>
      </c>
      <c r="B187" s="7">
        <v>45423</v>
      </c>
      <c r="C187" s="4">
        <v>45609</v>
      </c>
      <c r="D187">
        <f>C187-B187</f>
        <v>186</v>
      </c>
      <c r="E187" t="str">
        <f>TEXT(B187,"mmmm")</f>
        <v>May</v>
      </c>
      <c r="F187">
        <f>YEAR(B187)</f>
        <v>2024</v>
      </c>
      <c r="G187" t="s">
        <v>664</v>
      </c>
      <c r="H187" t="s">
        <v>53</v>
      </c>
      <c r="I187" t="s">
        <v>24</v>
      </c>
      <c r="J187" t="s">
        <v>2783</v>
      </c>
      <c r="K187" t="s">
        <v>122</v>
      </c>
      <c r="L187" t="s">
        <v>123</v>
      </c>
      <c r="M187" t="s">
        <v>28</v>
      </c>
      <c r="N187" t="s">
        <v>91</v>
      </c>
      <c r="O187" t="s">
        <v>665</v>
      </c>
      <c r="P187" t="s">
        <v>31</v>
      </c>
      <c r="Q187">
        <v>2</v>
      </c>
      <c r="R187">
        <v>1003.17</v>
      </c>
      <c r="S187">
        <v>0.2</v>
      </c>
      <c r="T187" s="12">
        <f>S187</f>
        <v>0.2</v>
      </c>
      <c r="U187">
        <v>1605.07</v>
      </c>
      <c r="V187">
        <f>Q187*R187*(1-S187)</f>
        <v>1605.0720000000001</v>
      </c>
      <c r="W187">
        <v>1337.28</v>
      </c>
      <c r="X187">
        <v>267.79000000000002</v>
      </c>
      <c r="Y187">
        <f>V187-W187</f>
        <v>267.79200000000014</v>
      </c>
      <c r="Z187" s="12">
        <f>Y187/V187</f>
        <v>0.16684111366966722</v>
      </c>
      <c r="AA187" t="s">
        <v>32</v>
      </c>
      <c r="AB187" t="s">
        <v>33</v>
      </c>
      <c r="AC187" s="10" t="s">
        <v>2796</v>
      </c>
      <c r="AD187" t="s">
        <v>2782</v>
      </c>
      <c r="AE187" t="str">
        <f>PROPER(TRIM(AB187))</f>
        <v>Completed</v>
      </c>
      <c r="AS187" t="str">
        <f t="shared" si="4"/>
        <v/>
      </c>
    </row>
    <row r="188" spans="1:45">
      <c r="A188" t="s">
        <v>666</v>
      </c>
      <c r="B188" s="7">
        <v>45492</v>
      </c>
      <c r="C188" s="4">
        <v>45493</v>
      </c>
      <c r="D188">
        <f>C188-B188</f>
        <v>1</v>
      </c>
      <c r="E188" t="str">
        <f>TEXT(B188,"mmmm")</f>
        <v>July</v>
      </c>
      <c r="F188">
        <f>YEAR(B188)</f>
        <v>2024</v>
      </c>
      <c r="G188" t="s">
        <v>263</v>
      </c>
      <c r="H188" t="s">
        <v>71</v>
      </c>
      <c r="I188" t="s">
        <v>24</v>
      </c>
      <c r="J188" t="s">
        <v>54</v>
      </c>
      <c r="K188" t="s">
        <v>247</v>
      </c>
      <c r="L188" t="s">
        <v>248</v>
      </c>
      <c r="M188" t="s">
        <v>41</v>
      </c>
      <c r="N188" t="s">
        <v>42</v>
      </c>
      <c r="O188" t="s">
        <v>667</v>
      </c>
      <c r="P188" t="s">
        <v>50</v>
      </c>
      <c r="Q188">
        <v>7</v>
      </c>
      <c r="R188">
        <v>3608.43</v>
      </c>
      <c r="S188">
        <v>0.05</v>
      </c>
      <c r="T188" s="12">
        <f>S188</f>
        <v>0.05</v>
      </c>
      <c r="U188">
        <v>23996.06</v>
      </c>
      <c r="V188">
        <f>Q188*R188*(1-S188)</f>
        <v>23996.059499999996</v>
      </c>
      <c r="W188">
        <v>20167.28</v>
      </c>
      <c r="X188">
        <v>3828.78</v>
      </c>
      <c r="Y188">
        <f>V188-W188</f>
        <v>3828.7794999999969</v>
      </c>
      <c r="Z188" s="12">
        <f>Y188/V188</f>
        <v>0.15955867670689838</v>
      </c>
      <c r="AA188" t="s">
        <v>32</v>
      </c>
      <c r="AB188" t="s">
        <v>33</v>
      </c>
      <c r="AC188" s="14" t="s">
        <v>2794</v>
      </c>
      <c r="AD188" t="s">
        <v>2782</v>
      </c>
      <c r="AE188" t="str">
        <f>PROPER(TRIM(AB188))</f>
        <v>Completed</v>
      </c>
      <c r="AS188" t="str">
        <f t="shared" si="4"/>
        <v/>
      </c>
    </row>
    <row r="189" spans="1:45">
      <c r="A189" t="s">
        <v>668</v>
      </c>
      <c r="B189" s="7">
        <v>45778</v>
      </c>
      <c r="C189" s="4">
        <v>45779</v>
      </c>
      <c r="D189">
        <f>C189-B189</f>
        <v>1</v>
      </c>
      <c r="E189" t="str">
        <f>TEXT(B189,"mmmm")</f>
        <v>May</v>
      </c>
      <c r="F189">
        <f>YEAR(B189)</f>
        <v>2025</v>
      </c>
      <c r="G189" t="s">
        <v>669</v>
      </c>
      <c r="H189" t="s">
        <v>36</v>
      </c>
      <c r="I189" t="s">
        <v>24</v>
      </c>
      <c r="J189" t="s">
        <v>63</v>
      </c>
      <c r="K189" t="s">
        <v>72</v>
      </c>
      <c r="L189" t="s">
        <v>73</v>
      </c>
      <c r="M189" t="s">
        <v>41</v>
      </c>
      <c r="N189" t="s">
        <v>66</v>
      </c>
      <c r="O189" t="s">
        <v>670</v>
      </c>
      <c r="P189" t="s">
        <v>44</v>
      </c>
      <c r="Q189">
        <v>3</v>
      </c>
      <c r="R189">
        <v>2905.74</v>
      </c>
      <c r="S189">
        <v>0</v>
      </c>
      <c r="T189" s="12">
        <f>S189</f>
        <v>0</v>
      </c>
      <c r="U189">
        <v>8717.2199999999993</v>
      </c>
      <c r="V189">
        <f>Q189*R189*(1-S189)</f>
        <v>8717.2199999999993</v>
      </c>
      <c r="W189">
        <v>6215.96</v>
      </c>
      <c r="X189">
        <v>2501.2600000000002</v>
      </c>
      <c r="Y189">
        <f>V189-W189</f>
        <v>2501.2599999999993</v>
      </c>
      <c r="Z189" s="12">
        <f>Y189/V189</f>
        <v>0.28693321953558582</v>
      </c>
      <c r="AA189" t="s">
        <v>32</v>
      </c>
      <c r="AB189" t="s">
        <v>103</v>
      </c>
      <c r="AC189" s="14" t="s">
        <v>2794</v>
      </c>
      <c r="AD189" t="s">
        <v>2782</v>
      </c>
      <c r="AE189" t="str">
        <f>PROPER(TRIM(AB189))</f>
        <v>Returned</v>
      </c>
      <c r="AS189" t="str">
        <f t="shared" si="4"/>
        <v/>
      </c>
    </row>
    <row r="190" spans="1:45">
      <c r="A190" t="s">
        <v>671</v>
      </c>
      <c r="B190" s="7">
        <v>45798</v>
      </c>
      <c r="C190" s="4">
        <v>45805</v>
      </c>
      <c r="D190">
        <f>C190-B190</f>
        <v>7</v>
      </c>
      <c r="E190" t="str">
        <f>TEXT(B190,"mmmm")</f>
        <v>May</v>
      </c>
      <c r="F190">
        <f>YEAR(B190)</f>
        <v>2025</v>
      </c>
      <c r="G190" t="s">
        <v>672</v>
      </c>
      <c r="H190" t="s">
        <v>114</v>
      </c>
      <c r="I190" t="s">
        <v>90</v>
      </c>
      <c r="J190" t="s">
        <v>38</v>
      </c>
      <c r="K190" t="s">
        <v>99</v>
      </c>
      <c r="L190" t="s">
        <v>100</v>
      </c>
      <c r="M190" t="s">
        <v>41</v>
      </c>
      <c r="N190" t="s">
        <v>158</v>
      </c>
      <c r="O190" t="s">
        <v>673</v>
      </c>
      <c r="P190" t="s">
        <v>44</v>
      </c>
      <c r="Q190">
        <v>2</v>
      </c>
      <c r="R190">
        <v>3559.57</v>
      </c>
      <c r="S190">
        <v>0.1</v>
      </c>
      <c r="T190" s="12">
        <f>S190</f>
        <v>0.1</v>
      </c>
      <c r="U190">
        <v>6553.95</v>
      </c>
      <c r="V190">
        <f>Q190*R190*(1-S190)</f>
        <v>6407.2260000000006</v>
      </c>
      <c r="W190">
        <v>4923.09</v>
      </c>
      <c r="X190">
        <v>1484.14</v>
      </c>
      <c r="Y190">
        <f>V190-W190</f>
        <v>1484.1360000000004</v>
      </c>
      <c r="Z190" s="12">
        <f>Y190/V190</f>
        <v>0.23163471992403581</v>
      </c>
      <c r="AA190" t="s">
        <v>32</v>
      </c>
      <c r="AB190" t="s">
        <v>33</v>
      </c>
      <c r="AC190" s="14" t="s">
        <v>2794</v>
      </c>
      <c r="AD190" t="s">
        <v>2782</v>
      </c>
      <c r="AE190" t="str">
        <f>PROPER(TRIM(AB190))</f>
        <v>Completed</v>
      </c>
      <c r="AS190" t="str">
        <f t="shared" si="4"/>
        <v/>
      </c>
    </row>
    <row r="191" spans="1:45">
      <c r="A191" t="s">
        <v>674</v>
      </c>
      <c r="B191" s="7">
        <v>45783</v>
      </c>
      <c r="C191" s="4">
        <v>45784</v>
      </c>
      <c r="D191">
        <f>C191-B191</f>
        <v>1</v>
      </c>
      <c r="E191" t="str">
        <f>TEXT(B191,"mmmm")</f>
        <v>May</v>
      </c>
      <c r="F191">
        <f>YEAR(B191)</f>
        <v>2025</v>
      </c>
      <c r="G191" t="s">
        <v>675</v>
      </c>
      <c r="H191" t="s">
        <v>53</v>
      </c>
      <c r="I191" t="s">
        <v>24</v>
      </c>
      <c r="J191" t="s">
        <v>63</v>
      </c>
      <c r="K191" t="s">
        <v>26</v>
      </c>
      <c r="L191" t="s">
        <v>109</v>
      </c>
      <c r="M191" t="s">
        <v>41</v>
      </c>
      <c r="N191" t="s">
        <v>158</v>
      </c>
      <c r="O191" t="s">
        <v>676</v>
      </c>
      <c r="P191" t="s">
        <v>50</v>
      </c>
      <c r="Q191">
        <v>9</v>
      </c>
      <c r="R191">
        <v>3318.24</v>
      </c>
      <c r="S191">
        <v>0</v>
      </c>
      <c r="T191" s="12">
        <f>S191</f>
        <v>0</v>
      </c>
      <c r="U191">
        <v>25384.54</v>
      </c>
      <c r="V191">
        <f>Q191*R191*(1-S191)</f>
        <v>29864.159999999996</v>
      </c>
      <c r="W191">
        <v>16872.39</v>
      </c>
      <c r="X191">
        <v>8512.15</v>
      </c>
      <c r="Y191">
        <f>V191-W191</f>
        <v>12991.769999999997</v>
      </c>
      <c r="Z191" s="12">
        <f>Y191/V191</f>
        <v>0.43502881045373448</v>
      </c>
      <c r="AA191" t="s">
        <v>32</v>
      </c>
      <c r="AB191" t="s">
        <v>33</v>
      </c>
      <c r="AC191" s="14" t="s">
        <v>2794</v>
      </c>
      <c r="AD191" t="s">
        <v>2782</v>
      </c>
      <c r="AE191" t="str">
        <f>PROPER(TRIM(AB191))</f>
        <v>Completed</v>
      </c>
      <c r="AS191" t="str">
        <f t="shared" si="4"/>
        <v/>
      </c>
    </row>
    <row r="192" spans="1:45">
      <c r="A192" t="s">
        <v>677</v>
      </c>
      <c r="B192" s="7">
        <v>45767</v>
      </c>
      <c r="C192" s="4">
        <v>45768</v>
      </c>
      <c r="D192">
        <f>C192-B192</f>
        <v>1</v>
      </c>
      <c r="E192" t="str">
        <f>TEXT(B192,"mmmm")</f>
        <v>April</v>
      </c>
      <c r="F192">
        <f>YEAR(B192)</f>
        <v>2025</v>
      </c>
      <c r="G192" t="s">
        <v>678</v>
      </c>
      <c r="H192" t="s">
        <v>89</v>
      </c>
      <c r="I192" t="s">
        <v>24</v>
      </c>
      <c r="J192" t="s">
        <v>54</v>
      </c>
      <c r="K192" t="s">
        <v>247</v>
      </c>
      <c r="L192" t="s">
        <v>248</v>
      </c>
      <c r="M192" t="s">
        <v>28</v>
      </c>
      <c r="N192" t="s">
        <v>124</v>
      </c>
      <c r="O192" t="s">
        <v>679</v>
      </c>
      <c r="P192" t="s">
        <v>50</v>
      </c>
      <c r="Q192">
        <v>3</v>
      </c>
      <c r="R192">
        <v>540.09</v>
      </c>
      <c r="S192">
        <v>0.1</v>
      </c>
      <c r="T192" s="12">
        <f>S192</f>
        <v>0.1</v>
      </c>
      <c r="U192">
        <v>1458.24</v>
      </c>
      <c r="V192">
        <f>Q192*R192*(1-S192)</f>
        <v>1458.2429999999999</v>
      </c>
      <c r="W192">
        <v>943.32</v>
      </c>
      <c r="X192">
        <v>514.91999999999996</v>
      </c>
      <c r="Y192">
        <f>V192-W192</f>
        <v>514.92299999999989</v>
      </c>
      <c r="Z192" s="12">
        <f>Y192/V192</f>
        <v>0.35311192990468659</v>
      </c>
      <c r="AA192" t="s">
        <v>32</v>
      </c>
      <c r="AB192" t="s">
        <v>33</v>
      </c>
      <c r="AC192" s="14" t="s">
        <v>2794</v>
      </c>
      <c r="AD192" t="s">
        <v>2782</v>
      </c>
      <c r="AE192" t="str">
        <f>PROPER(TRIM(AB192))</f>
        <v>Completed</v>
      </c>
      <c r="AS192" t="str">
        <f t="shared" si="4"/>
        <v/>
      </c>
    </row>
    <row r="193" spans="1:45">
      <c r="A193" t="s">
        <v>680</v>
      </c>
      <c r="B193" s="7">
        <v>45584</v>
      </c>
      <c r="C193" s="4">
        <v>45589</v>
      </c>
      <c r="D193">
        <f>C193-B193</f>
        <v>5</v>
      </c>
      <c r="E193" t="str">
        <f>TEXT(B193,"mmmm")</f>
        <v>October</v>
      </c>
      <c r="F193">
        <f>YEAR(B193)</f>
        <v>2024</v>
      </c>
      <c r="G193" t="s">
        <v>681</v>
      </c>
      <c r="H193" t="s">
        <v>132</v>
      </c>
      <c r="I193" t="s">
        <v>37</v>
      </c>
      <c r="J193" t="s">
        <v>54</v>
      </c>
      <c r="K193" t="s">
        <v>247</v>
      </c>
      <c r="L193" t="s">
        <v>248</v>
      </c>
      <c r="M193" t="s">
        <v>41</v>
      </c>
      <c r="N193" t="s">
        <v>158</v>
      </c>
      <c r="O193" t="s">
        <v>682</v>
      </c>
      <c r="P193" t="s">
        <v>31</v>
      </c>
      <c r="Q193">
        <v>6</v>
      </c>
      <c r="R193">
        <v>4308.3999999999996</v>
      </c>
      <c r="S193">
        <v>0.65</v>
      </c>
      <c r="T193" s="13">
        <f>S193</f>
        <v>0.65</v>
      </c>
      <c r="U193">
        <v>25850.400000000001</v>
      </c>
      <c r="V193">
        <f>Q193*R193*(1-S193)</f>
        <v>9047.64</v>
      </c>
      <c r="W193">
        <v>19397.68</v>
      </c>
      <c r="X193">
        <v>6452.72</v>
      </c>
      <c r="Y193">
        <f>V193-W193</f>
        <v>-10350.040000000001</v>
      </c>
      <c r="Z193" s="12">
        <f>Y193/V193</f>
        <v>-1.1439491403283069</v>
      </c>
      <c r="AA193" t="s">
        <v>32</v>
      </c>
      <c r="AB193" t="s">
        <v>33</v>
      </c>
      <c r="AC193" s="10" t="s">
        <v>2793</v>
      </c>
      <c r="AD193" t="s">
        <v>2782</v>
      </c>
      <c r="AE193" t="str">
        <f>PROPER(TRIM(AB193))</f>
        <v>Completed</v>
      </c>
      <c r="AS193" t="str">
        <f t="shared" si="4"/>
        <v/>
      </c>
    </row>
    <row r="194" spans="1:45">
      <c r="A194" t="s">
        <v>683</v>
      </c>
      <c r="B194" s="7">
        <v>45635</v>
      </c>
      <c r="C194" s="4">
        <v>45642</v>
      </c>
      <c r="D194">
        <f>C194-B194</f>
        <v>7</v>
      </c>
      <c r="E194" t="str">
        <f>TEXT(B194,"mmmm")</f>
        <v>December</v>
      </c>
      <c r="F194">
        <f>YEAR(B194)</f>
        <v>2024</v>
      </c>
      <c r="G194" t="s">
        <v>684</v>
      </c>
      <c r="H194" t="s">
        <v>47</v>
      </c>
      <c r="I194" t="s">
        <v>95</v>
      </c>
      <c r="J194" t="s">
        <v>63</v>
      </c>
      <c r="K194" t="s">
        <v>180</v>
      </c>
      <c r="L194" t="s">
        <v>181</v>
      </c>
      <c r="M194" t="s">
        <v>41</v>
      </c>
      <c r="N194" t="s">
        <v>66</v>
      </c>
      <c r="O194" t="s">
        <v>685</v>
      </c>
      <c r="P194" t="s">
        <v>50</v>
      </c>
      <c r="Q194">
        <v>4</v>
      </c>
      <c r="R194">
        <v>2191.0300000000002</v>
      </c>
      <c r="S194">
        <v>0</v>
      </c>
      <c r="T194" s="12">
        <f>S194</f>
        <v>0</v>
      </c>
      <c r="U194">
        <v>8764.1200000000008</v>
      </c>
      <c r="V194">
        <f>Q194*R194*(1-S194)</f>
        <v>8764.1200000000008</v>
      </c>
      <c r="W194">
        <v>7220.05</v>
      </c>
      <c r="X194">
        <v>1544.07</v>
      </c>
      <c r="Y194">
        <f>V194-W194</f>
        <v>1544.0700000000006</v>
      </c>
      <c r="Z194" s="12">
        <f>Y194/V194</f>
        <v>0.17618083732308554</v>
      </c>
      <c r="AA194" t="s">
        <v>32</v>
      </c>
      <c r="AB194" t="s">
        <v>33</v>
      </c>
      <c r="AC194" s="14" t="s">
        <v>2794</v>
      </c>
      <c r="AD194" t="s">
        <v>2782</v>
      </c>
      <c r="AE194" t="str">
        <f>PROPER(TRIM(AB194))</f>
        <v>Completed</v>
      </c>
      <c r="AS194" t="str">
        <f t="shared" si="4"/>
        <v/>
      </c>
    </row>
    <row r="195" spans="1:45">
      <c r="A195" t="s">
        <v>686</v>
      </c>
      <c r="B195" s="7">
        <v>45466</v>
      </c>
      <c r="C195" s="4">
        <v>45471</v>
      </c>
      <c r="D195">
        <f>C195-B195</f>
        <v>5</v>
      </c>
      <c r="E195" t="str">
        <f>TEXT(B195,"mmmm")</f>
        <v>June</v>
      </c>
      <c r="F195">
        <f>YEAR(B195)</f>
        <v>2024</v>
      </c>
      <c r="G195" t="s">
        <v>687</v>
      </c>
      <c r="H195" t="s">
        <v>114</v>
      </c>
      <c r="I195" t="s">
        <v>37</v>
      </c>
      <c r="J195" t="s">
        <v>25</v>
      </c>
      <c r="K195" t="s">
        <v>122</v>
      </c>
      <c r="L195" t="s">
        <v>123</v>
      </c>
      <c r="M195" t="s">
        <v>74</v>
      </c>
      <c r="N195" t="s">
        <v>80</v>
      </c>
      <c r="O195" t="s">
        <v>688</v>
      </c>
      <c r="P195" t="s">
        <v>44</v>
      </c>
      <c r="Q195">
        <v>6</v>
      </c>
      <c r="R195">
        <v>1956.63</v>
      </c>
      <c r="S195">
        <v>0.2</v>
      </c>
      <c r="T195" s="12">
        <f>S195</f>
        <v>0.2</v>
      </c>
      <c r="U195">
        <v>9391.82</v>
      </c>
      <c r="V195">
        <f>Q195*R195*(1-S195)</f>
        <v>9391.8240000000005</v>
      </c>
      <c r="W195">
        <v>6013.22</v>
      </c>
      <c r="X195">
        <v>3378.6</v>
      </c>
      <c r="Y195">
        <f>V195-W195</f>
        <v>3378.6040000000003</v>
      </c>
      <c r="Z195" s="12">
        <f>Y195/V195</f>
        <v>0.35973885370935399</v>
      </c>
      <c r="AA195" t="s">
        <v>102</v>
      </c>
      <c r="AB195" t="s">
        <v>103</v>
      </c>
      <c r="AC195" s="14" t="s">
        <v>2794</v>
      </c>
      <c r="AD195" t="s">
        <v>2782</v>
      </c>
      <c r="AE195" t="str">
        <f>PROPER(TRIM(AB195))</f>
        <v>Returned</v>
      </c>
      <c r="AS195" t="str">
        <f t="shared" ref="AS195:AS258" si="5">PROPER(TRIM(AD195))</f>
        <v/>
      </c>
    </row>
    <row r="196" spans="1:45">
      <c r="A196" t="s">
        <v>689</v>
      </c>
      <c r="B196" s="7">
        <v>45685</v>
      </c>
      <c r="C196" s="4">
        <v>45688</v>
      </c>
      <c r="D196">
        <f>C196-B196</f>
        <v>3</v>
      </c>
      <c r="E196" t="str">
        <f>TEXT(B196,"mmmm")</f>
        <v>January</v>
      </c>
      <c r="F196">
        <f>YEAR(B196)</f>
        <v>2025</v>
      </c>
      <c r="G196" t="s">
        <v>690</v>
      </c>
      <c r="H196" t="s">
        <v>114</v>
      </c>
      <c r="I196" t="s">
        <v>24</v>
      </c>
      <c r="J196" t="s">
        <v>63</v>
      </c>
      <c r="K196" t="s">
        <v>64</v>
      </c>
      <c r="L196" t="s">
        <v>65</v>
      </c>
      <c r="M196" t="s">
        <v>41</v>
      </c>
      <c r="N196" t="s">
        <v>57</v>
      </c>
      <c r="O196" t="s">
        <v>691</v>
      </c>
      <c r="P196" t="s">
        <v>50</v>
      </c>
      <c r="Q196">
        <v>9</v>
      </c>
      <c r="R196">
        <v>858.39</v>
      </c>
      <c r="S196">
        <v>0.05</v>
      </c>
      <c r="T196" s="12">
        <f>S196</f>
        <v>0.05</v>
      </c>
      <c r="U196">
        <v>7339.23</v>
      </c>
      <c r="V196">
        <f>Q196*R196*(1-S196)</f>
        <v>7339.2344999999996</v>
      </c>
      <c r="W196">
        <v>5434.12</v>
      </c>
      <c r="X196">
        <v>1905.11</v>
      </c>
      <c r="Y196">
        <f>V196-W196</f>
        <v>1905.1144999999997</v>
      </c>
      <c r="Z196" s="12">
        <f>Y196/V196</f>
        <v>0.25957945614082772</v>
      </c>
      <c r="AA196" t="s">
        <v>111</v>
      </c>
      <c r="AB196" t="s">
        <v>103</v>
      </c>
      <c r="AC196" s="14" t="s">
        <v>2794</v>
      </c>
      <c r="AD196" t="s">
        <v>2782</v>
      </c>
      <c r="AE196" t="str">
        <f>PROPER(TRIM(AB196))</f>
        <v>Returned</v>
      </c>
      <c r="AS196" t="str">
        <f t="shared" si="5"/>
        <v/>
      </c>
    </row>
    <row r="197" spans="1:45">
      <c r="A197" t="s">
        <v>692</v>
      </c>
      <c r="B197" s="7">
        <v>45860</v>
      </c>
      <c r="C197" s="4">
        <v>45862</v>
      </c>
      <c r="D197">
        <f>C197-B197</f>
        <v>2</v>
      </c>
      <c r="E197" t="str">
        <f>TEXT(B197,"mmmm")</f>
        <v>July</v>
      </c>
      <c r="F197">
        <f>YEAR(B197)</f>
        <v>2025</v>
      </c>
      <c r="G197" t="s">
        <v>693</v>
      </c>
      <c r="H197" t="s">
        <v>79</v>
      </c>
      <c r="I197" t="s">
        <v>95</v>
      </c>
      <c r="J197" t="s">
        <v>54</v>
      </c>
      <c r="K197" t="s">
        <v>84</v>
      </c>
      <c r="L197" t="s">
        <v>85</v>
      </c>
      <c r="M197" t="s">
        <v>41</v>
      </c>
      <c r="N197" t="s">
        <v>57</v>
      </c>
      <c r="O197" t="s">
        <v>694</v>
      </c>
      <c r="P197" t="s">
        <v>44</v>
      </c>
      <c r="Q197">
        <v>5</v>
      </c>
      <c r="R197">
        <v>1922.83</v>
      </c>
      <c r="S197">
        <v>0</v>
      </c>
      <c r="T197" s="12">
        <f>S197</f>
        <v>0</v>
      </c>
      <c r="U197">
        <v>9614.15</v>
      </c>
      <c r="V197">
        <f>Q197*R197*(1-S197)</f>
        <v>9614.15</v>
      </c>
      <c r="W197">
        <v>7576.84</v>
      </c>
      <c r="X197">
        <v>2037.31</v>
      </c>
      <c r="Y197">
        <f>V197-W197</f>
        <v>2037.3099999999995</v>
      </c>
      <c r="Z197" s="12">
        <f>Y197/V197</f>
        <v>0.21190744891644084</v>
      </c>
      <c r="AA197" t="s">
        <v>32</v>
      </c>
      <c r="AB197" t="s">
        <v>33</v>
      </c>
      <c r="AC197" s="14" t="s">
        <v>2794</v>
      </c>
      <c r="AD197" t="s">
        <v>2782</v>
      </c>
      <c r="AE197" t="str">
        <f>PROPER(TRIM(AB197))</f>
        <v>Completed</v>
      </c>
      <c r="AS197" t="str">
        <f t="shared" si="5"/>
        <v/>
      </c>
    </row>
    <row r="198" spans="1:45">
      <c r="A198" t="s">
        <v>695</v>
      </c>
      <c r="B198" s="7">
        <v>45313</v>
      </c>
      <c r="C198" s="4">
        <v>45316</v>
      </c>
      <c r="D198">
        <f>C198-B198</f>
        <v>3</v>
      </c>
      <c r="E198" t="str">
        <f>TEXT(B198,"mmmm")</f>
        <v>January</v>
      </c>
      <c r="F198">
        <f>YEAR(B198)</f>
        <v>2024</v>
      </c>
      <c r="G198" t="s">
        <v>696</v>
      </c>
      <c r="H198" t="s">
        <v>264</v>
      </c>
      <c r="I198" t="s">
        <v>95</v>
      </c>
      <c r="J198" t="s">
        <v>25</v>
      </c>
      <c r="K198" t="s">
        <v>136</v>
      </c>
      <c r="L198" t="s">
        <v>137</v>
      </c>
      <c r="M198" t="s">
        <v>28</v>
      </c>
      <c r="N198" t="s">
        <v>124</v>
      </c>
      <c r="O198" t="s">
        <v>697</v>
      </c>
      <c r="P198" t="s">
        <v>50</v>
      </c>
      <c r="Q198">
        <v>3</v>
      </c>
      <c r="R198">
        <v>1212.03</v>
      </c>
      <c r="S198">
        <v>0.1</v>
      </c>
      <c r="T198" s="12">
        <f>S198</f>
        <v>0.1</v>
      </c>
      <c r="U198">
        <v>3272.48</v>
      </c>
      <c r="V198">
        <f>Q198*R198*(1-S198)</f>
        <v>3272.4810000000002</v>
      </c>
      <c r="W198">
        <v>2517.44</v>
      </c>
      <c r="X198">
        <v>755.04</v>
      </c>
      <c r="Y198">
        <f>V198-W198</f>
        <v>755.04100000000017</v>
      </c>
      <c r="Z198" s="12">
        <f>Y198/V198</f>
        <v>0.23072433422837293</v>
      </c>
      <c r="AA198" t="s">
        <v>32</v>
      </c>
      <c r="AB198" t="s">
        <v>33</v>
      </c>
      <c r="AC198" s="14" t="s">
        <v>2794</v>
      </c>
      <c r="AD198" t="s">
        <v>2782</v>
      </c>
      <c r="AE198" t="str">
        <f>PROPER(TRIM(AB198))</f>
        <v>Completed</v>
      </c>
      <c r="AS198" t="str">
        <f t="shared" si="5"/>
        <v/>
      </c>
    </row>
    <row r="199" spans="1:45">
      <c r="A199" t="s">
        <v>698</v>
      </c>
      <c r="B199" s="7">
        <v>45747</v>
      </c>
      <c r="C199" s="4">
        <v>45754</v>
      </c>
      <c r="D199">
        <f>C199-B199</f>
        <v>7</v>
      </c>
      <c r="E199" t="str">
        <f>TEXT(B199,"mmmm")</f>
        <v>March</v>
      </c>
      <c r="F199">
        <f>YEAR(B199)</f>
        <v>2025</v>
      </c>
      <c r="G199" t="s">
        <v>390</v>
      </c>
      <c r="H199" t="s">
        <v>118</v>
      </c>
      <c r="I199" t="s">
        <v>37</v>
      </c>
      <c r="J199" t="s">
        <v>38</v>
      </c>
      <c r="K199" t="s">
        <v>145</v>
      </c>
      <c r="L199" t="s">
        <v>146</v>
      </c>
      <c r="M199" t="s">
        <v>28</v>
      </c>
      <c r="N199" t="s">
        <v>124</v>
      </c>
      <c r="O199" t="s">
        <v>699</v>
      </c>
      <c r="P199" t="s">
        <v>31</v>
      </c>
      <c r="Q199">
        <v>5</v>
      </c>
      <c r="R199">
        <v>4096.4399999999996</v>
      </c>
      <c r="S199">
        <v>0.15</v>
      </c>
      <c r="T199" s="12">
        <f>S199</f>
        <v>0.15</v>
      </c>
      <c r="U199">
        <v>17409.87</v>
      </c>
      <c r="V199">
        <f>Q199*R199*(1-S199)</f>
        <v>17409.869999999995</v>
      </c>
      <c r="W199">
        <v>14076.25</v>
      </c>
      <c r="X199">
        <v>3333.62</v>
      </c>
      <c r="Y199">
        <f>V199-W199</f>
        <v>3333.6199999999953</v>
      </c>
      <c r="Z199" s="12">
        <f>Y199/V199</f>
        <v>0.19147874165631312</v>
      </c>
      <c r="AA199" t="s">
        <v>32</v>
      </c>
      <c r="AB199" t="s">
        <v>33</v>
      </c>
      <c r="AC199" s="14" t="s">
        <v>2794</v>
      </c>
      <c r="AD199" t="s">
        <v>2782</v>
      </c>
      <c r="AE199" t="str">
        <f>PROPER(TRIM(AB199))</f>
        <v>Completed</v>
      </c>
      <c r="AS199" t="str">
        <f t="shared" si="5"/>
        <v/>
      </c>
    </row>
    <row r="200" spans="1:45">
      <c r="A200" t="s">
        <v>700</v>
      </c>
      <c r="B200" s="7">
        <v>45448</v>
      </c>
      <c r="C200" s="4">
        <v>45449</v>
      </c>
      <c r="D200">
        <f>C200-B200</f>
        <v>1</v>
      </c>
      <c r="E200" t="str">
        <f>TEXT(B200,"mmmm")</f>
        <v>June</v>
      </c>
      <c r="F200">
        <f>YEAR(B200)</f>
        <v>2024</v>
      </c>
      <c r="G200" t="s">
        <v>701</v>
      </c>
      <c r="H200" t="s">
        <v>132</v>
      </c>
      <c r="I200" t="s">
        <v>24</v>
      </c>
      <c r="J200" t="s">
        <v>63</v>
      </c>
      <c r="K200" t="s">
        <v>180</v>
      </c>
      <c r="L200" t="s">
        <v>181</v>
      </c>
      <c r="M200" t="s">
        <v>28</v>
      </c>
      <c r="N200" t="s">
        <v>48</v>
      </c>
      <c r="O200" t="s">
        <v>702</v>
      </c>
      <c r="P200" t="s">
        <v>31</v>
      </c>
      <c r="Q200">
        <v>1</v>
      </c>
      <c r="R200">
        <v>1184.58</v>
      </c>
      <c r="S200">
        <v>0.05</v>
      </c>
      <c r="T200" s="12">
        <f>S200</f>
        <v>0.05</v>
      </c>
      <c r="U200">
        <v>1125.3499999999999</v>
      </c>
      <c r="V200">
        <f>Q200*R200*(1-S200)</f>
        <v>1125.3509999999999</v>
      </c>
      <c r="W200">
        <v>676.97</v>
      </c>
      <c r="X200">
        <v>448.38</v>
      </c>
      <c r="Y200">
        <f>V200-W200</f>
        <v>448.38099999999986</v>
      </c>
      <c r="Z200" s="12">
        <f>Y200/V200</f>
        <v>0.39843657667696558</v>
      </c>
      <c r="AA200" t="s">
        <v>155</v>
      </c>
      <c r="AB200" t="s">
        <v>68</v>
      </c>
      <c r="AC200" s="14" t="s">
        <v>2794</v>
      </c>
      <c r="AD200" t="s">
        <v>2782</v>
      </c>
      <c r="AE200" t="str">
        <f>PROPER(TRIM(AB200))</f>
        <v>Cancelled</v>
      </c>
      <c r="AS200" t="str">
        <f t="shared" si="5"/>
        <v/>
      </c>
    </row>
    <row r="201" spans="1:45">
      <c r="A201" t="s">
        <v>703</v>
      </c>
      <c r="B201" s="7">
        <v>45629</v>
      </c>
      <c r="C201" s="4">
        <v>45363</v>
      </c>
      <c r="D201" s="10">
        <f>C201-B201</f>
        <v>-266</v>
      </c>
      <c r="E201" t="str">
        <f>TEXT(B201,"mmmm")</f>
        <v>December</v>
      </c>
      <c r="F201">
        <f>YEAR(B201)</f>
        <v>2024</v>
      </c>
      <c r="G201" t="s">
        <v>704</v>
      </c>
      <c r="H201" t="s">
        <v>118</v>
      </c>
      <c r="I201" t="s">
        <v>95</v>
      </c>
      <c r="J201" t="s">
        <v>38</v>
      </c>
      <c r="K201" t="s">
        <v>145</v>
      </c>
      <c r="L201" t="s">
        <v>146</v>
      </c>
      <c r="M201" t="s">
        <v>74</v>
      </c>
      <c r="N201" t="s">
        <v>274</v>
      </c>
      <c r="O201" t="s">
        <v>705</v>
      </c>
      <c r="P201" t="s">
        <v>2783</v>
      </c>
      <c r="Q201">
        <v>6</v>
      </c>
      <c r="R201">
        <v>2185.58</v>
      </c>
      <c r="S201">
        <v>0.25</v>
      </c>
      <c r="T201" s="12">
        <f>S201</f>
        <v>0.25</v>
      </c>
      <c r="U201">
        <v>9835.11</v>
      </c>
      <c r="V201">
        <f>Q201*R201*(1-S201)</f>
        <v>9835.11</v>
      </c>
      <c r="W201">
        <v>5437.64</v>
      </c>
      <c r="X201">
        <v>4397.47</v>
      </c>
      <c r="Y201">
        <f>V201-W201</f>
        <v>4397.47</v>
      </c>
      <c r="Z201" s="12">
        <f>Y201/V201</f>
        <v>0.44711955433136996</v>
      </c>
      <c r="AA201" t="s">
        <v>32</v>
      </c>
      <c r="AB201" t="s">
        <v>33</v>
      </c>
      <c r="AC201" s="10" t="s">
        <v>2795</v>
      </c>
      <c r="AD201" t="s">
        <v>2782</v>
      </c>
      <c r="AE201" t="str">
        <f>PROPER(TRIM(AB201))</f>
        <v>Completed</v>
      </c>
      <c r="AS201" t="str">
        <f t="shared" si="5"/>
        <v/>
      </c>
    </row>
    <row r="202" spans="1:45">
      <c r="A202" t="s">
        <v>706</v>
      </c>
      <c r="B202" s="7">
        <v>45835</v>
      </c>
      <c r="C202" s="4">
        <v>45843</v>
      </c>
      <c r="D202">
        <f>C202-B202</f>
        <v>8</v>
      </c>
      <c r="E202" t="str">
        <f>TEXT(B202,"mmmm")</f>
        <v>June</v>
      </c>
      <c r="F202">
        <f>YEAR(B202)</f>
        <v>2025</v>
      </c>
      <c r="G202" t="s">
        <v>707</v>
      </c>
      <c r="H202" t="s">
        <v>114</v>
      </c>
      <c r="I202" t="s">
        <v>37</v>
      </c>
      <c r="J202" t="s">
        <v>25</v>
      </c>
      <c r="K202" t="s">
        <v>26</v>
      </c>
      <c r="L202" t="s">
        <v>27</v>
      </c>
      <c r="M202" t="s">
        <v>74</v>
      </c>
      <c r="N202" t="s">
        <v>80</v>
      </c>
      <c r="O202" t="s">
        <v>708</v>
      </c>
      <c r="P202" t="s">
        <v>50</v>
      </c>
      <c r="Q202">
        <v>5</v>
      </c>
      <c r="R202">
        <v>2868.44</v>
      </c>
      <c r="S202">
        <v>0.1</v>
      </c>
      <c r="T202" s="12">
        <f>S202</f>
        <v>0.1</v>
      </c>
      <c r="U202">
        <v>12907.98</v>
      </c>
      <c r="V202">
        <f>Q202*R202*(1-S202)</f>
        <v>12907.980000000001</v>
      </c>
      <c r="W202">
        <v>9197.08</v>
      </c>
      <c r="X202">
        <v>3710.9</v>
      </c>
      <c r="Y202">
        <f>V202-W202</f>
        <v>3710.9000000000015</v>
      </c>
      <c r="Z202" s="12">
        <f>Y202/V202</f>
        <v>0.28748882474252369</v>
      </c>
      <c r="AA202" t="s">
        <v>111</v>
      </c>
      <c r="AB202" t="s">
        <v>68</v>
      </c>
      <c r="AC202" s="14" t="s">
        <v>2794</v>
      </c>
      <c r="AD202" t="s">
        <v>2782</v>
      </c>
      <c r="AE202" t="str">
        <f>PROPER(TRIM(AB202))</f>
        <v>Cancelled</v>
      </c>
      <c r="AS202" t="str">
        <f t="shared" si="5"/>
        <v/>
      </c>
    </row>
    <row r="203" spans="1:45">
      <c r="A203" t="s">
        <v>709</v>
      </c>
      <c r="B203" s="7">
        <v>45864</v>
      </c>
      <c r="C203" s="4">
        <v>45724</v>
      </c>
      <c r="D203" s="10">
        <f>C203-B203</f>
        <v>-140</v>
      </c>
      <c r="E203" t="str">
        <f>TEXT(B203,"mmmm")</f>
        <v>July</v>
      </c>
      <c r="F203">
        <f>YEAR(B203)</f>
        <v>2025</v>
      </c>
      <c r="G203" t="s">
        <v>710</v>
      </c>
      <c r="H203" t="s">
        <v>71</v>
      </c>
      <c r="I203" t="s">
        <v>24</v>
      </c>
      <c r="J203" t="s">
        <v>63</v>
      </c>
      <c r="K203" t="s">
        <v>72</v>
      </c>
      <c r="L203" t="s">
        <v>73</v>
      </c>
      <c r="M203" t="s">
        <v>28</v>
      </c>
      <c r="N203" t="s">
        <v>91</v>
      </c>
      <c r="O203" t="s">
        <v>711</v>
      </c>
      <c r="P203" t="s">
        <v>31</v>
      </c>
      <c r="Q203">
        <v>2</v>
      </c>
      <c r="R203">
        <v>2503.5300000000002</v>
      </c>
      <c r="S203">
        <v>-0.16</v>
      </c>
      <c r="T203" s="13">
        <f>S203</f>
        <v>-0.16</v>
      </c>
      <c r="U203">
        <v>4756.71</v>
      </c>
      <c r="V203">
        <f>Q203*R203*(1-S203)</f>
        <v>5808.1895999999997</v>
      </c>
      <c r="W203">
        <v>2954.86</v>
      </c>
      <c r="X203">
        <v>1801.85</v>
      </c>
      <c r="Y203">
        <f>V203-W203</f>
        <v>2853.3295999999996</v>
      </c>
      <c r="Z203" s="12">
        <f>Y203/V203</f>
        <v>0.49125972058487893</v>
      </c>
      <c r="AA203" t="s">
        <v>102</v>
      </c>
      <c r="AB203" t="s">
        <v>68</v>
      </c>
      <c r="AC203" s="10" t="s">
        <v>2792</v>
      </c>
      <c r="AD203" t="s">
        <v>2782</v>
      </c>
      <c r="AE203" t="str">
        <f>PROPER(TRIM(AB203))</f>
        <v>Cancelled</v>
      </c>
      <c r="AS203" t="str">
        <f t="shared" si="5"/>
        <v/>
      </c>
    </row>
    <row r="204" spans="1:45">
      <c r="A204" t="s">
        <v>712</v>
      </c>
      <c r="B204" s="7">
        <v>45744</v>
      </c>
      <c r="C204" s="4">
        <v>45744</v>
      </c>
      <c r="D204">
        <f>C204-B204</f>
        <v>0</v>
      </c>
      <c r="E204" t="str">
        <f>TEXT(B204,"mmmm")</f>
        <v>March</v>
      </c>
      <c r="F204">
        <f>YEAR(B204)</f>
        <v>2025</v>
      </c>
      <c r="G204" t="s">
        <v>713</v>
      </c>
      <c r="H204" t="s">
        <v>132</v>
      </c>
      <c r="I204" t="s">
        <v>90</v>
      </c>
      <c r="J204" t="s">
        <v>63</v>
      </c>
      <c r="K204" t="s">
        <v>190</v>
      </c>
      <c r="L204" t="s">
        <v>191</v>
      </c>
      <c r="M204" t="s">
        <v>74</v>
      </c>
      <c r="N204" t="s">
        <v>75</v>
      </c>
      <c r="O204" t="s">
        <v>714</v>
      </c>
      <c r="P204" t="s">
        <v>59</v>
      </c>
      <c r="Q204">
        <v>8</v>
      </c>
      <c r="R204">
        <v>1740.94</v>
      </c>
      <c r="S204">
        <v>0.05</v>
      </c>
      <c r="T204" s="12">
        <f>S204</f>
        <v>0.05</v>
      </c>
      <c r="U204">
        <v>13231.14</v>
      </c>
      <c r="V204">
        <f>Q204*R204*(1-S204)</f>
        <v>13231.144</v>
      </c>
      <c r="W204">
        <v>11290.06</v>
      </c>
      <c r="X204">
        <v>1941.08</v>
      </c>
      <c r="Y204">
        <f>V204-W204</f>
        <v>1941.0840000000007</v>
      </c>
      <c r="Z204" s="12">
        <f>Y204/V204</f>
        <v>0.14670568168557463</v>
      </c>
      <c r="AA204" t="s">
        <v>32</v>
      </c>
      <c r="AB204" t="s">
        <v>33</v>
      </c>
      <c r="AC204" s="14" t="s">
        <v>2794</v>
      </c>
      <c r="AD204" t="s">
        <v>2782</v>
      </c>
      <c r="AE204" t="str">
        <f>PROPER(TRIM(AB204))</f>
        <v>Completed</v>
      </c>
      <c r="AS204" t="str">
        <f t="shared" si="5"/>
        <v/>
      </c>
    </row>
    <row r="205" spans="1:45">
      <c r="A205" t="s">
        <v>715</v>
      </c>
      <c r="B205" s="7">
        <v>45379</v>
      </c>
      <c r="C205" s="4">
        <v>45381</v>
      </c>
      <c r="D205">
        <f>C205-B205</f>
        <v>2</v>
      </c>
      <c r="E205" t="str">
        <f>TEXT(B205,"mmmm")</f>
        <v>March</v>
      </c>
      <c r="F205">
        <f>YEAR(B205)</f>
        <v>2024</v>
      </c>
      <c r="G205" t="s">
        <v>716</v>
      </c>
      <c r="H205" t="s">
        <v>132</v>
      </c>
      <c r="I205" t="s">
        <v>90</v>
      </c>
      <c r="J205" t="s">
        <v>63</v>
      </c>
      <c r="K205" t="s">
        <v>26</v>
      </c>
      <c r="L205" t="s">
        <v>109</v>
      </c>
      <c r="M205" t="s">
        <v>74</v>
      </c>
      <c r="N205" t="s">
        <v>75</v>
      </c>
      <c r="O205" t="s">
        <v>717</v>
      </c>
      <c r="P205" t="s">
        <v>31</v>
      </c>
      <c r="Q205">
        <v>1</v>
      </c>
      <c r="R205">
        <v>570.34</v>
      </c>
      <c r="S205">
        <v>0.15</v>
      </c>
      <c r="T205" s="12">
        <f>S205</f>
        <v>0.15</v>
      </c>
      <c r="U205">
        <v>484.79</v>
      </c>
      <c r="V205">
        <f>Q205*R205*(1-S205)</f>
        <v>484.78899999999999</v>
      </c>
      <c r="W205">
        <v>333.54</v>
      </c>
      <c r="X205">
        <v>151.25</v>
      </c>
      <c r="Y205">
        <f>V205-W205</f>
        <v>151.24899999999997</v>
      </c>
      <c r="Z205" s="12">
        <f>Y205/V205</f>
        <v>0.3119893396921134</v>
      </c>
      <c r="AA205" t="s">
        <v>32</v>
      </c>
      <c r="AB205" t="s">
        <v>33</v>
      </c>
      <c r="AC205" s="14" t="s">
        <v>2794</v>
      </c>
      <c r="AD205" t="s">
        <v>2782</v>
      </c>
      <c r="AE205" t="str">
        <f>PROPER(TRIM(AB205))</f>
        <v>Completed</v>
      </c>
      <c r="AS205" t="str">
        <f t="shared" si="5"/>
        <v/>
      </c>
    </row>
    <row r="206" spans="1:45">
      <c r="A206" t="s">
        <v>718</v>
      </c>
      <c r="B206" s="7">
        <v>45858</v>
      </c>
      <c r="C206" s="4">
        <v>45861</v>
      </c>
      <c r="D206">
        <f>C206-B206</f>
        <v>3</v>
      </c>
      <c r="E206" t="str">
        <f>TEXT(B206,"mmmm")</f>
        <v>July</v>
      </c>
      <c r="F206">
        <f>YEAR(B206)</f>
        <v>2025</v>
      </c>
      <c r="G206" t="s">
        <v>719</v>
      </c>
      <c r="H206" t="s">
        <v>36</v>
      </c>
      <c r="I206" t="s">
        <v>95</v>
      </c>
      <c r="J206" t="s">
        <v>38</v>
      </c>
      <c r="K206" t="s">
        <v>99</v>
      </c>
      <c r="L206" t="s">
        <v>100</v>
      </c>
      <c r="M206" t="s">
        <v>41</v>
      </c>
      <c r="N206" t="s">
        <v>42</v>
      </c>
      <c r="O206" t="s">
        <v>720</v>
      </c>
      <c r="P206" t="s">
        <v>31</v>
      </c>
      <c r="Q206">
        <v>4</v>
      </c>
      <c r="R206">
        <v>477.69</v>
      </c>
      <c r="S206">
        <v>0.15</v>
      </c>
      <c r="T206" s="12">
        <f>S206</f>
        <v>0.15</v>
      </c>
      <c r="U206">
        <v>1624.15</v>
      </c>
      <c r="V206">
        <f>Q206*R206*(1-S206)</f>
        <v>1624.146</v>
      </c>
      <c r="W206">
        <v>1217.99</v>
      </c>
      <c r="X206">
        <v>406.16</v>
      </c>
      <c r="Y206">
        <f>V206-W206</f>
        <v>406.15599999999995</v>
      </c>
      <c r="Z206" s="12">
        <f>Y206/V206</f>
        <v>0.25007357712914968</v>
      </c>
      <c r="AA206" t="s">
        <v>32</v>
      </c>
      <c r="AB206" t="s">
        <v>33</v>
      </c>
      <c r="AC206" s="14" t="s">
        <v>2794</v>
      </c>
      <c r="AD206" t="s">
        <v>2782</v>
      </c>
      <c r="AE206" t="str">
        <f>PROPER(TRIM(AB206))</f>
        <v>Completed</v>
      </c>
      <c r="AS206" t="str">
        <f t="shared" si="5"/>
        <v/>
      </c>
    </row>
    <row r="207" spans="1:45">
      <c r="A207" t="s">
        <v>721</v>
      </c>
      <c r="B207" s="7">
        <v>45768</v>
      </c>
      <c r="C207" s="4">
        <v>45773</v>
      </c>
      <c r="D207">
        <f>C207-B207</f>
        <v>5</v>
      </c>
      <c r="E207" t="str">
        <f>TEXT(B207,"mmmm")</f>
        <v>April</v>
      </c>
      <c r="F207">
        <f>YEAR(B207)</f>
        <v>2025</v>
      </c>
      <c r="G207" t="s">
        <v>722</v>
      </c>
      <c r="H207" t="s">
        <v>62</v>
      </c>
      <c r="I207" t="s">
        <v>24</v>
      </c>
      <c r="J207" t="s">
        <v>63</v>
      </c>
      <c r="K207" t="s">
        <v>64</v>
      </c>
      <c r="L207" t="s">
        <v>65</v>
      </c>
      <c r="M207" t="s">
        <v>28</v>
      </c>
      <c r="N207" t="s">
        <v>91</v>
      </c>
      <c r="O207" t="s">
        <v>723</v>
      </c>
      <c r="P207" t="s">
        <v>44</v>
      </c>
      <c r="Q207">
        <v>6</v>
      </c>
      <c r="R207">
        <v>873.59</v>
      </c>
      <c r="S207">
        <v>0.2</v>
      </c>
      <c r="T207" s="12">
        <f>S207</f>
        <v>0.2</v>
      </c>
      <c r="U207">
        <v>4193.2299999999996</v>
      </c>
      <c r="V207">
        <f>Q207*R207*(1-S207)</f>
        <v>4193.232</v>
      </c>
      <c r="W207">
        <v>3329.99</v>
      </c>
      <c r="X207">
        <v>863.24</v>
      </c>
      <c r="Y207">
        <f>V207-W207</f>
        <v>863.24200000000019</v>
      </c>
      <c r="Z207" s="12">
        <f>Y207/V207</f>
        <v>0.2058655471483572</v>
      </c>
      <c r="AA207" t="s">
        <v>32</v>
      </c>
      <c r="AB207" t="s">
        <v>33</v>
      </c>
      <c r="AC207" s="14" t="s">
        <v>2794</v>
      </c>
      <c r="AD207" t="s">
        <v>2782</v>
      </c>
      <c r="AE207" t="str">
        <f>PROPER(TRIM(AB207))</f>
        <v>Completed</v>
      </c>
      <c r="AS207" t="str">
        <f t="shared" si="5"/>
        <v/>
      </c>
    </row>
    <row r="208" spans="1:45">
      <c r="A208" t="s">
        <v>724</v>
      </c>
      <c r="B208" s="7">
        <v>45795</v>
      </c>
      <c r="C208" s="4">
        <v>45797</v>
      </c>
      <c r="D208">
        <f>C208-B208</f>
        <v>2</v>
      </c>
      <c r="E208" t="str">
        <f>TEXT(B208,"mmmm")</f>
        <v>May</v>
      </c>
      <c r="F208">
        <f>YEAR(B208)</f>
        <v>2025</v>
      </c>
      <c r="G208" t="s">
        <v>725</v>
      </c>
      <c r="H208" t="s">
        <v>162</v>
      </c>
      <c r="I208" t="s">
        <v>37</v>
      </c>
      <c r="J208" t="s">
        <v>25</v>
      </c>
      <c r="K208" t="s">
        <v>136</v>
      </c>
      <c r="L208" t="s">
        <v>137</v>
      </c>
      <c r="M208" t="s">
        <v>41</v>
      </c>
      <c r="N208" t="s">
        <v>57</v>
      </c>
      <c r="O208" t="s">
        <v>726</v>
      </c>
      <c r="P208" t="s">
        <v>50</v>
      </c>
      <c r="Q208">
        <v>2</v>
      </c>
      <c r="R208">
        <v>215.13</v>
      </c>
      <c r="S208">
        <v>0</v>
      </c>
      <c r="T208" s="12">
        <f>S208</f>
        <v>0</v>
      </c>
      <c r="U208">
        <v>430.26</v>
      </c>
      <c r="V208">
        <f>Q208*R208*(1-S208)</f>
        <v>430.26</v>
      </c>
      <c r="W208">
        <v>286.38</v>
      </c>
      <c r="X208">
        <v>143.88</v>
      </c>
      <c r="Y208">
        <f>V208-W208</f>
        <v>143.88</v>
      </c>
      <c r="Z208" s="12">
        <f>Y208/V208</f>
        <v>0.33440245432994004</v>
      </c>
      <c r="AA208" t="s">
        <v>32</v>
      </c>
      <c r="AB208" t="s">
        <v>33</v>
      </c>
      <c r="AC208" s="14" t="s">
        <v>2794</v>
      </c>
      <c r="AD208" t="s">
        <v>2782</v>
      </c>
      <c r="AE208" t="str">
        <f>PROPER(TRIM(AB208))</f>
        <v>Completed</v>
      </c>
      <c r="AS208" t="str">
        <f t="shared" si="5"/>
        <v/>
      </c>
    </row>
    <row r="209" spans="1:45">
      <c r="A209" t="s">
        <v>727</v>
      </c>
      <c r="B209" s="7">
        <v>45483</v>
      </c>
      <c r="C209" s="4">
        <v>45489</v>
      </c>
      <c r="D209">
        <f>C209-B209</f>
        <v>6</v>
      </c>
      <c r="E209" t="str">
        <f>TEXT(B209,"mmmm")</f>
        <v>July</v>
      </c>
      <c r="F209">
        <f>YEAR(B209)</f>
        <v>2024</v>
      </c>
      <c r="G209" t="s">
        <v>728</v>
      </c>
      <c r="H209" t="s">
        <v>128</v>
      </c>
      <c r="I209" t="s">
        <v>95</v>
      </c>
      <c r="J209" t="s">
        <v>63</v>
      </c>
      <c r="K209" t="s">
        <v>190</v>
      </c>
      <c r="L209" t="s">
        <v>191</v>
      </c>
      <c r="M209" t="s">
        <v>41</v>
      </c>
      <c r="N209" t="s">
        <v>158</v>
      </c>
      <c r="O209" t="s">
        <v>729</v>
      </c>
      <c r="P209" t="s">
        <v>31</v>
      </c>
      <c r="Q209">
        <v>2</v>
      </c>
      <c r="R209">
        <v>1095.45</v>
      </c>
      <c r="S209">
        <v>0.2</v>
      </c>
      <c r="T209" s="12">
        <f>S209</f>
        <v>0.2</v>
      </c>
      <c r="U209">
        <v>1752.72</v>
      </c>
      <c r="V209">
        <f>Q209*R209*(1-S209)</f>
        <v>1752.7200000000003</v>
      </c>
      <c r="W209">
        <v>996.41</v>
      </c>
      <c r="X209">
        <v>756.31</v>
      </c>
      <c r="Y209">
        <f>V209-W209</f>
        <v>756.31000000000029</v>
      </c>
      <c r="Z209" s="12">
        <f>Y209/V209</f>
        <v>0.43150645853302305</v>
      </c>
      <c r="AA209" t="s">
        <v>32</v>
      </c>
      <c r="AB209" t="s">
        <v>33</v>
      </c>
      <c r="AC209" s="14" t="s">
        <v>2794</v>
      </c>
      <c r="AD209" t="s">
        <v>2782</v>
      </c>
      <c r="AE209" t="str">
        <f>PROPER(TRIM(AB209))</f>
        <v>Completed</v>
      </c>
      <c r="AS209" t="str">
        <f t="shared" si="5"/>
        <v/>
      </c>
    </row>
    <row r="210" spans="1:45">
      <c r="A210" t="s">
        <v>730</v>
      </c>
      <c r="B210" s="7">
        <v>45837</v>
      </c>
      <c r="C210" s="4">
        <v>45843</v>
      </c>
      <c r="D210">
        <f>C210-B210</f>
        <v>6</v>
      </c>
      <c r="E210" t="str">
        <f>TEXT(B210,"mmmm")</f>
        <v>June</v>
      </c>
      <c r="F210">
        <f>YEAR(B210)</f>
        <v>2025</v>
      </c>
      <c r="G210" t="s">
        <v>731</v>
      </c>
      <c r="H210" t="s">
        <v>162</v>
      </c>
      <c r="I210" t="s">
        <v>24</v>
      </c>
      <c r="J210" t="s">
        <v>25</v>
      </c>
      <c r="K210" t="s">
        <v>122</v>
      </c>
      <c r="L210" t="s">
        <v>123</v>
      </c>
      <c r="M210" t="s">
        <v>41</v>
      </c>
      <c r="N210" t="s">
        <v>66</v>
      </c>
      <c r="O210" t="s">
        <v>732</v>
      </c>
      <c r="P210" t="s">
        <v>44</v>
      </c>
      <c r="Q210">
        <v>1</v>
      </c>
      <c r="R210">
        <v>999.83</v>
      </c>
      <c r="S210">
        <v>0</v>
      </c>
      <c r="T210" s="12">
        <f>S210</f>
        <v>0</v>
      </c>
      <c r="U210">
        <v>999.83</v>
      </c>
      <c r="V210">
        <f>Q210*R210*(1-S210)</f>
        <v>999.83</v>
      </c>
      <c r="W210">
        <v>634.91</v>
      </c>
      <c r="X210">
        <v>364.92</v>
      </c>
      <c r="Y210">
        <f>V210-W210</f>
        <v>364.92000000000007</v>
      </c>
      <c r="Z210" s="12">
        <f>Y210/V210</f>
        <v>0.3649820469479812</v>
      </c>
      <c r="AA210" t="s">
        <v>32</v>
      </c>
      <c r="AB210" t="s">
        <v>33</v>
      </c>
      <c r="AC210" s="14" t="s">
        <v>2794</v>
      </c>
      <c r="AD210" t="s">
        <v>2782</v>
      </c>
      <c r="AE210" t="str">
        <f>PROPER(TRIM(AB210))</f>
        <v>Completed</v>
      </c>
      <c r="AS210" t="str">
        <f t="shared" si="5"/>
        <v/>
      </c>
    </row>
    <row r="211" spans="1:45">
      <c r="A211" t="s">
        <v>733</v>
      </c>
      <c r="B211" s="7">
        <v>45882</v>
      </c>
      <c r="C211" s="4">
        <v>45883</v>
      </c>
      <c r="D211">
        <f>C211-B211</f>
        <v>1</v>
      </c>
      <c r="E211" t="str">
        <f>TEXT(B211,"mmmm")</f>
        <v>August</v>
      </c>
      <c r="F211">
        <f>YEAR(B211)</f>
        <v>2025</v>
      </c>
      <c r="G211" t="s">
        <v>734</v>
      </c>
      <c r="H211" t="s">
        <v>141</v>
      </c>
      <c r="I211" t="s">
        <v>37</v>
      </c>
      <c r="J211" t="s">
        <v>54</v>
      </c>
      <c r="K211" t="s">
        <v>84</v>
      </c>
      <c r="L211" t="s">
        <v>85</v>
      </c>
      <c r="M211" t="s">
        <v>28</v>
      </c>
      <c r="N211" t="s">
        <v>29</v>
      </c>
      <c r="O211" t="s">
        <v>735</v>
      </c>
      <c r="P211" t="s">
        <v>50</v>
      </c>
      <c r="Q211">
        <v>9</v>
      </c>
      <c r="R211">
        <v>864.98</v>
      </c>
      <c r="S211">
        <v>0.1</v>
      </c>
      <c r="T211" s="12">
        <f>S211</f>
        <v>0.1</v>
      </c>
      <c r="U211">
        <v>7006.34</v>
      </c>
      <c r="V211">
        <f>Q211*R211*(1-S211)</f>
        <v>7006.3379999999997</v>
      </c>
      <c r="W211">
        <v>4640.88</v>
      </c>
      <c r="X211">
        <v>2365.46</v>
      </c>
      <c r="Y211">
        <f>V211-W211</f>
        <v>2365.4579999999996</v>
      </c>
      <c r="Z211" s="12">
        <f>Y211/V211</f>
        <v>0.33761688345609359</v>
      </c>
      <c r="AA211" t="s">
        <v>32</v>
      </c>
      <c r="AB211" t="s">
        <v>33</v>
      </c>
      <c r="AC211" s="14" t="s">
        <v>2794</v>
      </c>
      <c r="AD211" t="s">
        <v>2782</v>
      </c>
      <c r="AE211" t="str">
        <f>PROPER(TRIM(AB211))</f>
        <v>Completed</v>
      </c>
      <c r="AS211" t="str">
        <f t="shared" si="5"/>
        <v/>
      </c>
    </row>
    <row r="212" spans="1:45">
      <c r="A212" t="s">
        <v>736</v>
      </c>
      <c r="B212" s="7">
        <v>45366</v>
      </c>
      <c r="C212" s="4">
        <v>45369</v>
      </c>
      <c r="D212">
        <f>C212-B212</f>
        <v>3</v>
      </c>
      <c r="E212" t="str">
        <f>TEXT(B212,"mmmm")</f>
        <v>March</v>
      </c>
      <c r="F212">
        <f>YEAR(B212)</f>
        <v>2024</v>
      </c>
      <c r="G212" t="s">
        <v>737</v>
      </c>
      <c r="H212" t="s">
        <v>264</v>
      </c>
      <c r="I212" t="s">
        <v>95</v>
      </c>
      <c r="J212" t="s">
        <v>54</v>
      </c>
      <c r="K212" t="s">
        <v>175</v>
      </c>
      <c r="L212" t="s">
        <v>176</v>
      </c>
      <c r="M212" t="s">
        <v>74</v>
      </c>
      <c r="N212" t="s">
        <v>274</v>
      </c>
      <c r="O212" t="s">
        <v>738</v>
      </c>
      <c r="P212" t="s">
        <v>31</v>
      </c>
      <c r="Q212">
        <v>1</v>
      </c>
      <c r="R212">
        <v>4131.3599999999997</v>
      </c>
      <c r="S212">
        <v>0</v>
      </c>
      <c r="T212" s="12">
        <f>S212</f>
        <v>0</v>
      </c>
      <c r="U212">
        <v>4131.3599999999997</v>
      </c>
      <c r="V212">
        <f>Q212*R212*(1-S212)</f>
        <v>4131.3599999999997</v>
      </c>
      <c r="W212">
        <v>2937.07</v>
      </c>
      <c r="X212">
        <v>1194.29</v>
      </c>
      <c r="Y212">
        <f>V212-W212</f>
        <v>1194.2899999999995</v>
      </c>
      <c r="Z212" s="12">
        <f>Y212/V212</f>
        <v>0.28907914100925591</v>
      </c>
      <c r="AA212" t="s">
        <v>155</v>
      </c>
      <c r="AB212" t="s">
        <v>103</v>
      </c>
      <c r="AC212" s="14" t="s">
        <v>2794</v>
      </c>
      <c r="AD212" t="s">
        <v>2782</v>
      </c>
      <c r="AE212" t="str">
        <f>PROPER(TRIM(AB212))</f>
        <v>Returned</v>
      </c>
      <c r="AS212" t="str">
        <f t="shared" si="5"/>
        <v/>
      </c>
    </row>
    <row r="213" spans="1:45">
      <c r="A213" t="s">
        <v>739</v>
      </c>
      <c r="B213" s="7">
        <v>45428</v>
      </c>
      <c r="C213" s="4">
        <v>45429</v>
      </c>
      <c r="D213">
        <f>C213-B213</f>
        <v>1</v>
      </c>
      <c r="E213" t="str">
        <f>TEXT(B213,"mmmm")</f>
        <v>May</v>
      </c>
      <c r="F213">
        <f>YEAR(B213)</f>
        <v>2024</v>
      </c>
      <c r="G213" t="s">
        <v>740</v>
      </c>
      <c r="H213" t="s">
        <v>141</v>
      </c>
      <c r="I213" t="s">
        <v>90</v>
      </c>
      <c r="J213" t="s">
        <v>38</v>
      </c>
      <c r="K213" t="s">
        <v>99</v>
      </c>
      <c r="L213" t="s">
        <v>100</v>
      </c>
      <c r="M213" t="s">
        <v>74</v>
      </c>
      <c r="N213" t="s">
        <v>80</v>
      </c>
      <c r="O213" t="s">
        <v>741</v>
      </c>
      <c r="P213" t="s">
        <v>31</v>
      </c>
      <c r="Q213">
        <v>8</v>
      </c>
      <c r="R213">
        <v>4221.95</v>
      </c>
      <c r="S213">
        <v>0.2</v>
      </c>
      <c r="T213" s="12">
        <f>S213</f>
        <v>0.2</v>
      </c>
      <c r="U213">
        <v>27020.48</v>
      </c>
      <c r="V213">
        <f>Q213*R213*(1-S213)</f>
        <v>27020.48</v>
      </c>
      <c r="W213">
        <v>22885.24</v>
      </c>
      <c r="X213">
        <v>4135.24</v>
      </c>
      <c r="Y213">
        <f>V213-W213</f>
        <v>4135.239999999998</v>
      </c>
      <c r="Z213" s="12">
        <f>Y213/V213</f>
        <v>0.15304095264036752</v>
      </c>
      <c r="AA213" t="s">
        <v>32</v>
      </c>
      <c r="AB213" t="s">
        <v>33</v>
      </c>
      <c r="AC213" s="14" t="s">
        <v>2794</v>
      </c>
      <c r="AD213" t="s">
        <v>2782</v>
      </c>
      <c r="AE213" t="str">
        <f>PROPER(TRIM(AB213))</f>
        <v>Completed</v>
      </c>
      <c r="AS213" t="str">
        <f t="shared" si="5"/>
        <v/>
      </c>
    </row>
    <row r="214" spans="1:45">
      <c r="A214" t="s">
        <v>742</v>
      </c>
      <c r="B214" s="7">
        <v>45556</v>
      </c>
      <c r="C214" s="4">
        <v>45556</v>
      </c>
      <c r="D214">
        <f>C214-B214</f>
        <v>0</v>
      </c>
      <c r="E214" t="str">
        <f>TEXT(B214,"mmmm")</f>
        <v>September</v>
      </c>
      <c r="F214">
        <f>YEAR(B214)</f>
        <v>2024</v>
      </c>
      <c r="G214" t="s">
        <v>743</v>
      </c>
      <c r="H214" t="s">
        <v>62</v>
      </c>
      <c r="I214" t="s">
        <v>37</v>
      </c>
      <c r="J214" t="s">
        <v>38</v>
      </c>
      <c r="K214" t="s">
        <v>39</v>
      </c>
      <c r="L214" t="s">
        <v>40</v>
      </c>
      <c r="M214" t="s">
        <v>74</v>
      </c>
      <c r="N214" t="s">
        <v>171</v>
      </c>
      <c r="O214" t="s">
        <v>744</v>
      </c>
      <c r="P214" t="s">
        <v>44</v>
      </c>
      <c r="Q214">
        <v>2</v>
      </c>
      <c r="R214">
        <v>214.5</v>
      </c>
      <c r="S214">
        <v>0.15</v>
      </c>
      <c r="T214" s="12">
        <f>S214</f>
        <v>0.15</v>
      </c>
      <c r="U214">
        <v>364.65</v>
      </c>
      <c r="V214">
        <f>Q214*R214*(1-S214)</f>
        <v>364.65</v>
      </c>
      <c r="W214">
        <v>280.74</v>
      </c>
      <c r="X214">
        <v>83.91</v>
      </c>
      <c r="Y214">
        <f>V214-W214</f>
        <v>83.909999999999968</v>
      </c>
      <c r="Z214" s="12">
        <f>Y214/V214</f>
        <v>0.23011106540518297</v>
      </c>
      <c r="AA214" t="s">
        <v>32</v>
      </c>
      <c r="AB214" t="s">
        <v>33</v>
      </c>
      <c r="AC214" s="14" t="s">
        <v>2794</v>
      </c>
      <c r="AD214" t="s">
        <v>2782</v>
      </c>
      <c r="AE214" t="str">
        <f>PROPER(TRIM(AB214))</f>
        <v>Completed</v>
      </c>
      <c r="AS214" t="str">
        <f t="shared" si="5"/>
        <v/>
      </c>
    </row>
    <row r="215" spans="1:45">
      <c r="A215" t="s">
        <v>745</v>
      </c>
      <c r="B215" s="7">
        <v>45427</v>
      </c>
      <c r="C215" s="4">
        <v>45433</v>
      </c>
      <c r="D215">
        <f>C215-B215</f>
        <v>6</v>
      </c>
      <c r="E215" t="str">
        <f>TEXT(B215,"mmmm")</f>
        <v>May</v>
      </c>
      <c r="F215">
        <f>YEAR(B215)</f>
        <v>2024</v>
      </c>
      <c r="G215" t="s">
        <v>746</v>
      </c>
      <c r="H215" t="s">
        <v>47</v>
      </c>
      <c r="I215" t="s">
        <v>37</v>
      </c>
      <c r="J215" t="s">
        <v>38</v>
      </c>
      <c r="K215" t="s">
        <v>145</v>
      </c>
      <c r="L215" t="s">
        <v>146</v>
      </c>
      <c r="M215" t="s">
        <v>74</v>
      </c>
      <c r="N215" t="s">
        <v>75</v>
      </c>
      <c r="O215" t="s">
        <v>747</v>
      </c>
      <c r="P215" t="s">
        <v>31</v>
      </c>
      <c r="Q215">
        <v>4</v>
      </c>
      <c r="R215">
        <v>4332.7299999999996</v>
      </c>
      <c r="S215">
        <v>0.2</v>
      </c>
      <c r="T215" s="12">
        <f>S215</f>
        <v>0.2</v>
      </c>
      <c r="U215">
        <v>13864.74</v>
      </c>
      <c r="V215">
        <f>Q215*R215*(1-S215)</f>
        <v>13864.735999999999</v>
      </c>
      <c r="W215">
        <v>11294.06</v>
      </c>
      <c r="X215">
        <v>2570.6799999999998</v>
      </c>
      <c r="Y215">
        <f>V215-W215</f>
        <v>2570.6759999999995</v>
      </c>
      <c r="Z215" s="12">
        <f>Y215/V215</f>
        <v>0.18541110339208763</v>
      </c>
      <c r="AA215" t="s">
        <v>32</v>
      </c>
      <c r="AB215" t="s">
        <v>33</v>
      </c>
      <c r="AC215" s="14" t="s">
        <v>2794</v>
      </c>
      <c r="AD215" t="s">
        <v>2782</v>
      </c>
      <c r="AE215" t="str">
        <f>PROPER(TRIM(AB215))</f>
        <v>Completed</v>
      </c>
      <c r="AS215" t="str">
        <f t="shared" si="5"/>
        <v/>
      </c>
    </row>
    <row r="216" spans="1:45">
      <c r="A216" t="s">
        <v>748</v>
      </c>
      <c r="B216" s="7">
        <v>45368</v>
      </c>
      <c r="C216" s="4">
        <v>45374</v>
      </c>
      <c r="D216">
        <f>C216-B216</f>
        <v>6</v>
      </c>
      <c r="E216" t="str">
        <f>TEXT(B216,"mmmm")</f>
        <v>March</v>
      </c>
      <c r="F216">
        <f>YEAR(B216)</f>
        <v>2024</v>
      </c>
      <c r="G216" t="s">
        <v>749</v>
      </c>
      <c r="H216" t="s">
        <v>118</v>
      </c>
      <c r="I216" t="s">
        <v>24</v>
      </c>
      <c r="J216" t="s">
        <v>25</v>
      </c>
      <c r="K216" t="s">
        <v>236</v>
      </c>
      <c r="L216" t="s">
        <v>237</v>
      </c>
      <c r="M216" t="s">
        <v>74</v>
      </c>
      <c r="N216" t="s">
        <v>75</v>
      </c>
      <c r="O216" t="s">
        <v>750</v>
      </c>
      <c r="P216" t="s">
        <v>50</v>
      </c>
      <c r="Q216">
        <v>3</v>
      </c>
      <c r="R216">
        <v>248.18</v>
      </c>
      <c r="S216">
        <v>0.05</v>
      </c>
      <c r="T216" s="12">
        <f>S216</f>
        <v>0.05</v>
      </c>
      <c r="U216">
        <v>707.31</v>
      </c>
      <c r="V216">
        <f>Q216*R216*(1-S216)</f>
        <v>707.31299999999999</v>
      </c>
      <c r="W216">
        <v>569</v>
      </c>
      <c r="X216">
        <v>138.31</v>
      </c>
      <c r="Y216">
        <f>V216-W216</f>
        <v>138.31299999999999</v>
      </c>
      <c r="Z216" s="12">
        <f>Y216/V216</f>
        <v>0.19554709159876885</v>
      </c>
      <c r="AA216" t="s">
        <v>32</v>
      </c>
      <c r="AB216" t="s">
        <v>33</v>
      </c>
      <c r="AC216" s="14" t="s">
        <v>2794</v>
      </c>
      <c r="AD216" t="s">
        <v>2782</v>
      </c>
      <c r="AE216" t="str">
        <f>PROPER(TRIM(AB216))</f>
        <v>Completed</v>
      </c>
      <c r="AS216" t="str">
        <f t="shared" si="5"/>
        <v/>
      </c>
    </row>
    <row r="217" spans="1:45">
      <c r="A217" t="s">
        <v>751</v>
      </c>
      <c r="B217" s="7">
        <v>45352</v>
      </c>
      <c r="C217" s="4">
        <v>45355</v>
      </c>
      <c r="D217">
        <f>C217-B217</f>
        <v>3</v>
      </c>
      <c r="E217" t="str">
        <f>TEXT(B217,"mmmm")</f>
        <v>March</v>
      </c>
      <c r="F217">
        <f>YEAR(B217)</f>
        <v>2024</v>
      </c>
      <c r="G217" t="s">
        <v>752</v>
      </c>
      <c r="H217" t="s">
        <v>36</v>
      </c>
      <c r="I217" t="s">
        <v>24</v>
      </c>
      <c r="J217" t="s">
        <v>63</v>
      </c>
      <c r="K217" t="s">
        <v>72</v>
      </c>
      <c r="L217" t="s">
        <v>73</v>
      </c>
      <c r="M217" t="s">
        <v>28</v>
      </c>
      <c r="N217" t="s">
        <v>29</v>
      </c>
      <c r="O217" t="s">
        <v>753</v>
      </c>
      <c r="P217" t="s">
        <v>50</v>
      </c>
      <c r="Q217">
        <v>8</v>
      </c>
      <c r="R217">
        <v>3202.4</v>
      </c>
      <c r="S217">
        <v>0.25</v>
      </c>
      <c r="T217" s="12">
        <f>S217</f>
        <v>0.25</v>
      </c>
      <c r="U217">
        <v>19214.400000000001</v>
      </c>
      <c r="V217">
        <f>Q217*R217*(1-S217)</f>
        <v>19214.400000000001</v>
      </c>
      <c r="W217">
        <v>10916.01</v>
      </c>
      <c r="X217">
        <v>8298.39</v>
      </c>
      <c r="Y217">
        <f>V217-W217</f>
        <v>8298.3900000000012</v>
      </c>
      <c r="Z217" s="12">
        <f>Y217/V217</f>
        <v>0.43188389957531853</v>
      </c>
      <c r="AA217" t="s">
        <v>32</v>
      </c>
      <c r="AB217" t="s">
        <v>33</v>
      </c>
      <c r="AC217" s="14" t="s">
        <v>2794</v>
      </c>
      <c r="AD217" t="s">
        <v>2782</v>
      </c>
      <c r="AE217" t="str">
        <f>PROPER(TRIM(AB217))</f>
        <v>Completed</v>
      </c>
      <c r="AS217" t="str">
        <f t="shared" si="5"/>
        <v/>
      </c>
    </row>
    <row r="218" spans="1:45">
      <c r="A218" t="s">
        <v>754</v>
      </c>
      <c r="B218" s="7">
        <v>45934</v>
      </c>
      <c r="C218" s="4">
        <v>45762</v>
      </c>
      <c r="D218" s="10">
        <f>C218-B218</f>
        <v>-172</v>
      </c>
      <c r="E218" t="str">
        <f>TEXT(B218,"mmmm")</f>
        <v>October</v>
      </c>
      <c r="F218">
        <f>YEAR(B218)</f>
        <v>2025</v>
      </c>
      <c r="G218" t="s">
        <v>755</v>
      </c>
      <c r="H218" t="s">
        <v>47</v>
      </c>
      <c r="I218" t="s">
        <v>24</v>
      </c>
      <c r="J218" t="s">
        <v>63</v>
      </c>
      <c r="K218" t="s">
        <v>180</v>
      </c>
      <c r="L218" t="s">
        <v>181</v>
      </c>
      <c r="M218" t="s">
        <v>41</v>
      </c>
      <c r="N218" t="s">
        <v>42</v>
      </c>
      <c r="O218" t="s">
        <v>756</v>
      </c>
      <c r="P218" t="s">
        <v>59</v>
      </c>
      <c r="Q218">
        <v>8</v>
      </c>
      <c r="R218">
        <v>1839.87</v>
      </c>
      <c r="S218">
        <v>0.25</v>
      </c>
      <c r="T218" s="12">
        <f>S218</f>
        <v>0.25</v>
      </c>
      <c r="U218">
        <v>11039.22</v>
      </c>
      <c r="V218">
        <f>Q218*R218*(1-S218)</f>
        <v>11039.22</v>
      </c>
      <c r="W218">
        <v>7642.91</v>
      </c>
      <c r="X218">
        <v>3396.31</v>
      </c>
      <c r="Y218">
        <f>V218-W218</f>
        <v>3396.3099999999995</v>
      </c>
      <c r="Z218" s="12">
        <f>Y218/V218</f>
        <v>0.30765851210502188</v>
      </c>
      <c r="AA218" t="s">
        <v>155</v>
      </c>
      <c r="AB218" t="s">
        <v>103</v>
      </c>
      <c r="AC218" s="10" t="s">
        <v>2792</v>
      </c>
      <c r="AD218" t="s">
        <v>2782</v>
      </c>
      <c r="AE218" t="str">
        <f>PROPER(TRIM(AB218))</f>
        <v>Returned</v>
      </c>
      <c r="AS218" t="str">
        <f t="shared" si="5"/>
        <v/>
      </c>
    </row>
    <row r="219" spans="1:45">
      <c r="A219" t="s">
        <v>757</v>
      </c>
      <c r="B219" s="7">
        <v>45748</v>
      </c>
      <c r="C219" s="4">
        <v>45873</v>
      </c>
      <c r="D219">
        <f>C219-B219</f>
        <v>125</v>
      </c>
      <c r="E219" t="str">
        <f>TEXT(B219,"mmmm")</f>
        <v>April</v>
      </c>
      <c r="F219">
        <f>YEAR(B219)</f>
        <v>2025</v>
      </c>
      <c r="G219" t="s">
        <v>758</v>
      </c>
      <c r="H219" t="s">
        <v>89</v>
      </c>
      <c r="I219" t="s">
        <v>24</v>
      </c>
      <c r="J219" t="s">
        <v>38</v>
      </c>
      <c r="K219" t="s">
        <v>39</v>
      </c>
      <c r="L219" t="s">
        <v>40</v>
      </c>
      <c r="M219" t="s">
        <v>41</v>
      </c>
      <c r="N219" t="s">
        <v>158</v>
      </c>
      <c r="O219" t="s">
        <v>759</v>
      </c>
      <c r="P219" t="s">
        <v>31</v>
      </c>
      <c r="Q219">
        <v>5</v>
      </c>
      <c r="R219">
        <v>1021.28</v>
      </c>
      <c r="S219">
        <v>0.1</v>
      </c>
      <c r="T219" s="12">
        <f>S219</f>
        <v>0.1</v>
      </c>
      <c r="U219">
        <v>4595.76</v>
      </c>
      <c r="V219">
        <f>Q219*R219*(1-S219)</f>
        <v>4595.76</v>
      </c>
      <c r="W219">
        <v>3396.8</v>
      </c>
      <c r="X219">
        <v>1198.96</v>
      </c>
      <c r="Y219">
        <f>V219-W219</f>
        <v>1198.96</v>
      </c>
      <c r="Z219" s="12">
        <f>Y219/V219</f>
        <v>0.26088394520166414</v>
      </c>
      <c r="AA219" t="s">
        <v>102</v>
      </c>
      <c r="AB219" t="s">
        <v>68</v>
      </c>
      <c r="AC219" s="14" t="s">
        <v>2794</v>
      </c>
      <c r="AD219" t="s">
        <v>2782</v>
      </c>
      <c r="AE219" t="str">
        <f>PROPER(TRIM(AB219))</f>
        <v>Cancelled</v>
      </c>
      <c r="AS219" t="str">
        <f t="shared" si="5"/>
        <v/>
      </c>
    </row>
    <row r="220" spans="1:45">
      <c r="A220" t="s">
        <v>760</v>
      </c>
      <c r="B220" s="7">
        <v>45714</v>
      </c>
      <c r="C220" s="4">
        <v>45715</v>
      </c>
      <c r="D220">
        <f>C220-B220</f>
        <v>1</v>
      </c>
      <c r="E220" t="str">
        <f>TEXT(B220,"mmmm")</f>
        <v>February</v>
      </c>
      <c r="F220">
        <f>YEAR(B220)</f>
        <v>2025</v>
      </c>
      <c r="G220" t="s">
        <v>761</v>
      </c>
      <c r="H220" t="s">
        <v>114</v>
      </c>
      <c r="I220" t="s">
        <v>90</v>
      </c>
      <c r="J220" t="s">
        <v>63</v>
      </c>
      <c r="K220" t="s">
        <v>180</v>
      </c>
      <c r="L220" t="s">
        <v>181</v>
      </c>
      <c r="M220" t="s">
        <v>41</v>
      </c>
      <c r="N220" t="s">
        <v>158</v>
      </c>
      <c r="O220" t="s">
        <v>762</v>
      </c>
      <c r="P220" t="s">
        <v>59</v>
      </c>
      <c r="Q220">
        <v>5</v>
      </c>
      <c r="R220">
        <v>258.27999999999997</v>
      </c>
      <c r="S220">
        <v>0</v>
      </c>
      <c r="T220" s="12">
        <f>S220</f>
        <v>0</v>
      </c>
      <c r="U220">
        <v>1291.4000000000001</v>
      </c>
      <c r="V220">
        <f>Q220*R220*(1-S220)</f>
        <v>1291.3999999999999</v>
      </c>
      <c r="W220">
        <v>756.93</v>
      </c>
      <c r="X220">
        <v>534.47</v>
      </c>
      <c r="Y220">
        <f>V220-W220</f>
        <v>534.46999999999991</v>
      </c>
      <c r="Z220" s="12">
        <f>Y220/V220</f>
        <v>0.41386866966083319</v>
      </c>
      <c r="AA220" t="s">
        <v>32</v>
      </c>
      <c r="AB220" t="s">
        <v>33</v>
      </c>
      <c r="AC220" s="14" t="s">
        <v>2794</v>
      </c>
      <c r="AD220" t="s">
        <v>2782</v>
      </c>
      <c r="AE220" t="str">
        <f>PROPER(TRIM(AB220))</f>
        <v>Completed</v>
      </c>
      <c r="AS220" t="str">
        <f t="shared" si="5"/>
        <v/>
      </c>
    </row>
    <row r="221" spans="1:45">
      <c r="A221" t="s">
        <v>763</v>
      </c>
      <c r="B221" s="7">
        <v>45461</v>
      </c>
      <c r="C221" s="4">
        <v>45462</v>
      </c>
      <c r="D221">
        <f>C221-B221</f>
        <v>1</v>
      </c>
      <c r="E221" t="str">
        <f>TEXT(B221,"mmmm")</f>
        <v>June</v>
      </c>
      <c r="F221">
        <f>YEAR(B221)</f>
        <v>2024</v>
      </c>
      <c r="G221" t="s">
        <v>764</v>
      </c>
      <c r="H221" t="s">
        <v>118</v>
      </c>
      <c r="I221" t="s">
        <v>24</v>
      </c>
      <c r="J221" t="s">
        <v>38</v>
      </c>
      <c r="K221" t="s">
        <v>145</v>
      </c>
      <c r="L221" t="s">
        <v>146</v>
      </c>
      <c r="M221" t="s">
        <v>74</v>
      </c>
      <c r="N221" t="s">
        <v>274</v>
      </c>
      <c r="O221" t="s">
        <v>765</v>
      </c>
      <c r="P221" t="s">
        <v>50</v>
      </c>
      <c r="Q221">
        <v>2</v>
      </c>
      <c r="R221">
        <v>121.49</v>
      </c>
      <c r="S221" s="3">
        <v>0.85</v>
      </c>
      <c r="T221" s="13">
        <f>S221</f>
        <v>0.85</v>
      </c>
      <c r="U221">
        <v>242.98</v>
      </c>
      <c r="V221">
        <f>Q221*R221*(1-S221)</f>
        <v>36.447000000000003</v>
      </c>
      <c r="W221">
        <v>161.41999999999999</v>
      </c>
      <c r="X221">
        <v>81.56</v>
      </c>
      <c r="Y221">
        <f>V221-W221</f>
        <v>-124.97299999999998</v>
      </c>
      <c r="Z221" s="12">
        <f>Y221/V221</f>
        <v>-3.4288967541910162</v>
      </c>
      <c r="AA221" t="s">
        <v>32</v>
      </c>
      <c r="AB221" t="s">
        <v>33</v>
      </c>
      <c r="AC221" s="10" t="s">
        <v>2793</v>
      </c>
      <c r="AD221" t="s">
        <v>2782</v>
      </c>
      <c r="AE221" t="str">
        <f>PROPER(TRIM(AB221))</f>
        <v>Completed</v>
      </c>
      <c r="AS221" t="str">
        <f t="shared" si="5"/>
        <v/>
      </c>
    </row>
    <row r="222" spans="1:45">
      <c r="A222" t="s">
        <v>766</v>
      </c>
      <c r="B222" s="7">
        <v>45360</v>
      </c>
      <c r="C222" s="4">
        <v>45360</v>
      </c>
      <c r="D222">
        <f>C222-B222</f>
        <v>0</v>
      </c>
      <c r="E222" t="str">
        <f>TEXT(B222,"mmmm")</f>
        <v>March</v>
      </c>
      <c r="F222">
        <f>YEAR(B222)</f>
        <v>2024</v>
      </c>
      <c r="G222" t="s">
        <v>767</v>
      </c>
      <c r="H222" t="s">
        <v>132</v>
      </c>
      <c r="I222" t="s">
        <v>24</v>
      </c>
      <c r="J222" t="s">
        <v>54</v>
      </c>
      <c r="K222" t="s">
        <v>185</v>
      </c>
      <c r="L222" t="s">
        <v>186</v>
      </c>
      <c r="M222" t="s">
        <v>28</v>
      </c>
      <c r="N222" t="s">
        <v>124</v>
      </c>
      <c r="O222" t="s">
        <v>768</v>
      </c>
      <c r="P222" t="s">
        <v>50</v>
      </c>
      <c r="Q222">
        <v>4</v>
      </c>
      <c r="R222">
        <v>2810.17</v>
      </c>
      <c r="S222">
        <v>0.15</v>
      </c>
      <c r="T222" s="12">
        <f>S222</f>
        <v>0.15</v>
      </c>
      <c r="U222">
        <v>9554.58</v>
      </c>
      <c r="V222">
        <f>Q222*R222*(1-S222)</f>
        <v>9554.5779999999995</v>
      </c>
      <c r="W222">
        <v>6068.47</v>
      </c>
      <c r="X222">
        <v>3486.11</v>
      </c>
      <c r="Y222">
        <f>V222-W222</f>
        <v>3486.1079999999993</v>
      </c>
      <c r="Z222" s="12">
        <f>Y222/V222</f>
        <v>0.36486258210462036</v>
      </c>
      <c r="AA222" t="s">
        <v>102</v>
      </c>
      <c r="AB222" t="s">
        <v>68</v>
      </c>
      <c r="AC222" s="14" t="s">
        <v>2794</v>
      </c>
      <c r="AD222" t="s">
        <v>2782</v>
      </c>
      <c r="AE222" t="str">
        <f>PROPER(TRIM(AB222))</f>
        <v>Cancelled</v>
      </c>
      <c r="AS222" t="str">
        <f t="shared" si="5"/>
        <v/>
      </c>
    </row>
    <row r="223" spans="1:45">
      <c r="A223" t="s">
        <v>769</v>
      </c>
      <c r="B223" s="7">
        <v>45669</v>
      </c>
      <c r="C223" s="4">
        <v>45672</v>
      </c>
      <c r="D223">
        <f>C223-B223</f>
        <v>3</v>
      </c>
      <c r="E223" t="str">
        <f>TEXT(B223,"mmmm")</f>
        <v>January</v>
      </c>
      <c r="F223">
        <f>YEAR(B223)</f>
        <v>2025</v>
      </c>
      <c r="G223" t="s">
        <v>770</v>
      </c>
      <c r="H223" t="s">
        <v>36</v>
      </c>
      <c r="I223" t="s">
        <v>90</v>
      </c>
      <c r="J223" t="s">
        <v>54</v>
      </c>
      <c r="K223" t="s">
        <v>175</v>
      </c>
      <c r="L223" t="s">
        <v>176</v>
      </c>
      <c r="M223" t="s">
        <v>41</v>
      </c>
      <c r="N223" t="s">
        <v>66</v>
      </c>
      <c r="O223" t="s">
        <v>771</v>
      </c>
      <c r="P223" t="s">
        <v>44</v>
      </c>
      <c r="Q223">
        <v>4</v>
      </c>
      <c r="R223">
        <v>1531.53</v>
      </c>
      <c r="S223">
        <v>0.2</v>
      </c>
      <c r="T223" s="12">
        <f>S223</f>
        <v>0.2</v>
      </c>
      <c r="U223">
        <v>4900.8999999999996</v>
      </c>
      <c r="V223">
        <f>Q223*R223*(1-S223)</f>
        <v>4900.8959999999997</v>
      </c>
      <c r="W223">
        <v>3552.69</v>
      </c>
      <c r="X223">
        <v>1348.21</v>
      </c>
      <c r="Y223">
        <f>V223-W223</f>
        <v>1348.2059999999997</v>
      </c>
      <c r="Z223" s="12">
        <f>Y223/V223</f>
        <v>0.27509377877024932</v>
      </c>
      <c r="AA223" t="s">
        <v>32</v>
      </c>
      <c r="AB223" t="s">
        <v>33</v>
      </c>
      <c r="AC223" s="14" t="s">
        <v>2794</v>
      </c>
      <c r="AD223" t="s">
        <v>2782</v>
      </c>
      <c r="AE223" t="str">
        <f>PROPER(TRIM(AB223))</f>
        <v>Completed</v>
      </c>
      <c r="AS223" t="str">
        <f t="shared" si="5"/>
        <v/>
      </c>
    </row>
    <row r="224" spans="1:45">
      <c r="A224" t="s">
        <v>772</v>
      </c>
      <c r="B224" s="7">
        <v>45776</v>
      </c>
      <c r="C224" s="4">
        <v>45779</v>
      </c>
      <c r="D224">
        <f>C224-B224</f>
        <v>3</v>
      </c>
      <c r="E224" t="str">
        <f>TEXT(B224,"mmmm")</f>
        <v>April</v>
      </c>
      <c r="F224">
        <f>YEAR(B224)</f>
        <v>2025</v>
      </c>
      <c r="G224" t="s">
        <v>773</v>
      </c>
      <c r="H224" t="s">
        <v>71</v>
      </c>
      <c r="I224" t="s">
        <v>37</v>
      </c>
      <c r="J224" t="s">
        <v>63</v>
      </c>
      <c r="K224" t="s">
        <v>190</v>
      </c>
      <c r="L224" t="s">
        <v>191</v>
      </c>
      <c r="M224" t="s">
        <v>28</v>
      </c>
      <c r="N224" t="s">
        <v>124</v>
      </c>
      <c r="O224" t="s">
        <v>774</v>
      </c>
      <c r="P224" t="s">
        <v>50</v>
      </c>
      <c r="Q224">
        <v>6</v>
      </c>
      <c r="R224">
        <v>4308.09</v>
      </c>
      <c r="S224">
        <v>0</v>
      </c>
      <c r="T224" s="12">
        <f>S224</f>
        <v>0</v>
      </c>
      <c r="U224">
        <v>25848.54</v>
      </c>
      <c r="V224">
        <f>Q224*R224*(1-S224)</f>
        <v>25848.54</v>
      </c>
      <c r="W224">
        <v>17729.09</v>
      </c>
      <c r="X224">
        <v>8119.45</v>
      </c>
      <c r="Y224">
        <f>V224-W224</f>
        <v>8119.4500000000007</v>
      </c>
      <c r="Z224" s="12">
        <f>Y224/V224</f>
        <v>0.31411638723115504</v>
      </c>
      <c r="AA224" t="s">
        <v>32</v>
      </c>
      <c r="AB224" t="s">
        <v>33</v>
      </c>
      <c r="AC224" s="14" t="s">
        <v>2794</v>
      </c>
      <c r="AD224" t="s">
        <v>2782</v>
      </c>
      <c r="AE224" t="str">
        <f>PROPER(TRIM(AB224))</f>
        <v>Completed</v>
      </c>
      <c r="AS224" t="str">
        <f t="shared" si="5"/>
        <v/>
      </c>
    </row>
    <row r="225" spans="1:45">
      <c r="A225" t="s">
        <v>775</v>
      </c>
      <c r="B225" s="7">
        <v>45707</v>
      </c>
      <c r="C225" s="4">
        <v>45714</v>
      </c>
      <c r="D225">
        <f>C225-B225</f>
        <v>7</v>
      </c>
      <c r="E225" t="str">
        <f>TEXT(B225,"mmmm")</f>
        <v>February</v>
      </c>
      <c r="F225">
        <f>YEAR(B225)</f>
        <v>2025</v>
      </c>
      <c r="G225" t="s">
        <v>776</v>
      </c>
      <c r="H225" t="s">
        <v>36</v>
      </c>
      <c r="I225" t="s">
        <v>90</v>
      </c>
      <c r="J225" t="s">
        <v>63</v>
      </c>
      <c r="K225" t="s">
        <v>64</v>
      </c>
      <c r="L225" t="s">
        <v>65</v>
      </c>
      <c r="M225" t="s">
        <v>41</v>
      </c>
      <c r="N225" t="s">
        <v>57</v>
      </c>
      <c r="O225" t="s">
        <v>777</v>
      </c>
      <c r="P225" t="s">
        <v>50</v>
      </c>
      <c r="Q225">
        <v>3</v>
      </c>
      <c r="R225">
        <v>490.3</v>
      </c>
      <c r="S225">
        <v>0.2</v>
      </c>
      <c r="T225" s="12">
        <f>S225</f>
        <v>0.2</v>
      </c>
      <c r="U225">
        <v>1176.72</v>
      </c>
      <c r="V225">
        <f>Q225*R225*(1-S225)</f>
        <v>1176.72</v>
      </c>
      <c r="W225">
        <v>654.33000000000004</v>
      </c>
      <c r="X225">
        <v>522.39</v>
      </c>
      <c r="Y225">
        <f>V225-W225</f>
        <v>522.39</v>
      </c>
      <c r="Z225" s="12">
        <f>Y225/V225</f>
        <v>0.44393738527432181</v>
      </c>
      <c r="AA225" t="s">
        <v>111</v>
      </c>
      <c r="AB225" t="s">
        <v>103</v>
      </c>
      <c r="AC225" s="14" t="s">
        <v>2794</v>
      </c>
      <c r="AD225" t="s">
        <v>2782</v>
      </c>
      <c r="AE225" t="str">
        <f>PROPER(TRIM(AB225))</f>
        <v>Returned</v>
      </c>
      <c r="AS225" t="str">
        <f t="shared" si="5"/>
        <v/>
      </c>
    </row>
    <row r="226" spans="1:45">
      <c r="A226" t="s">
        <v>778</v>
      </c>
      <c r="B226" s="7">
        <v>45698</v>
      </c>
      <c r="C226" s="4">
        <v>45938</v>
      </c>
      <c r="D226">
        <f>C226-B226</f>
        <v>240</v>
      </c>
      <c r="E226" t="str">
        <f>TEXT(B226,"mmmm")</f>
        <v>February</v>
      </c>
      <c r="F226">
        <f>YEAR(B226)</f>
        <v>2025</v>
      </c>
      <c r="G226" t="s">
        <v>779</v>
      </c>
      <c r="H226" t="s">
        <v>47</v>
      </c>
      <c r="I226" t="s">
        <v>37</v>
      </c>
      <c r="J226" t="s">
        <v>25</v>
      </c>
      <c r="K226" t="s">
        <v>122</v>
      </c>
      <c r="L226" t="s">
        <v>123</v>
      </c>
      <c r="M226" t="s">
        <v>41</v>
      </c>
      <c r="N226" t="s">
        <v>57</v>
      </c>
      <c r="O226" t="s">
        <v>780</v>
      </c>
      <c r="P226" t="s">
        <v>59</v>
      </c>
      <c r="Q226">
        <v>4</v>
      </c>
      <c r="R226">
        <v>3944.64</v>
      </c>
      <c r="S226">
        <v>0.25</v>
      </c>
      <c r="T226" s="12">
        <f>S226</f>
        <v>0.25</v>
      </c>
      <c r="U226">
        <v>11833.92</v>
      </c>
      <c r="V226">
        <f>Q226*R226*(1-S226)</f>
        <v>11833.92</v>
      </c>
      <c r="W226">
        <v>6682.92</v>
      </c>
      <c r="X226">
        <v>5151</v>
      </c>
      <c r="Y226">
        <f>V226-W226</f>
        <v>5151</v>
      </c>
      <c r="Z226" s="12">
        <f>Y226/V226</f>
        <v>0.43527419485681834</v>
      </c>
      <c r="AA226" t="s">
        <v>32</v>
      </c>
      <c r="AB226" t="s">
        <v>68</v>
      </c>
      <c r="AC226" s="14" t="s">
        <v>2794</v>
      </c>
      <c r="AD226" t="s">
        <v>2782</v>
      </c>
      <c r="AE226" t="str">
        <f>PROPER(TRIM(AB226))</f>
        <v>Cancelled</v>
      </c>
      <c r="AS226" t="str">
        <f t="shared" si="5"/>
        <v/>
      </c>
    </row>
    <row r="227" spans="1:45">
      <c r="A227" t="s">
        <v>781</v>
      </c>
      <c r="B227" s="7">
        <v>45537</v>
      </c>
      <c r="C227" s="4">
        <v>45545</v>
      </c>
      <c r="D227">
        <f>C227-B227</f>
        <v>8</v>
      </c>
      <c r="E227" t="str">
        <f>TEXT(B227,"mmmm")</f>
        <v>September</v>
      </c>
      <c r="F227">
        <f>YEAR(B227)</f>
        <v>2024</v>
      </c>
      <c r="G227" t="s">
        <v>782</v>
      </c>
      <c r="H227" t="s">
        <v>36</v>
      </c>
      <c r="I227" t="s">
        <v>90</v>
      </c>
      <c r="J227" t="s">
        <v>63</v>
      </c>
      <c r="K227" t="s">
        <v>190</v>
      </c>
      <c r="L227" t="s">
        <v>191</v>
      </c>
      <c r="M227" t="s">
        <v>74</v>
      </c>
      <c r="N227" t="s">
        <v>171</v>
      </c>
      <c r="O227" t="s">
        <v>783</v>
      </c>
      <c r="P227" t="s">
        <v>59</v>
      </c>
      <c r="Q227">
        <v>6</v>
      </c>
      <c r="R227">
        <v>1032.47</v>
      </c>
      <c r="S227">
        <v>0.15</v>
      </c>
      <c r="T227" s="12">
        <f>S227</f>
        <v>0.15</v>
      </c>
      <c r="U227">
        <v>5265.6</v>
      </c>
      <c r="V227">
        <f>Q227*R227*(1-S227)</f>
        <v>5265.5969999999998</v>
      </c>
      <c r="W227">
        <v>4293.1099999999997</v>
      </c>
      <c r="X227">
        <v>787.57</v>
      </c>
      <c r="Y227">
        <f>V227-W227</f>
        <v>972.48700000000008</v>
      </c>
      <c r="Z227" s="12">
        <f>Y227/V227</f>
        <v>0.18468694053114967</v>
      </c>
      <c r="AA227" t="s">
        <v>32</v>
      </c>
      <c r="AB227" t="s">
        <v>33</v>
      </c>
      <c r="AC227" s="14" t="s">
        <v>2794</v>
      </c>
      <c r="AD227" t="s">
        <v>2782</v>
      </c>
      <c r="AE227" t="str">
        <f>PROPER(TRIM(AB227))</f>
        <v>Completed</v>
      </c>
      <c r="AS227" t="str">
        <f t="shared" si="5"/>
        <v/>
      </c>
    </row>
    <row r="228" spans="1:45">
      <c r="A228" t="s">
        <v>784</v>
      </c>
      <c r="B228" s="7">
        <v>45757</v>
      </c>
      <c r="C228" s="4">
        <v>45762</v>
      </c>
      <c r="D228">
        <f>C228-B228</f>
        <v>5</v>
      </c>
      <c r="E228" t="str">
        <f>TEXT(B228,"mmmm")</f>
        <v>April</v>
      </c>
      <c r="F228">
        <f>YEAR(B228)</f>
        <v>2025</v>
      </c>
      <c r="G228" t="s">
        <v>785</v>
      </c>
      <c r="H228" t="s">
        <v>162</v>
      </c>
      <c r="I228" t="s">
        <v>95</v>
      </c>
      <c r="J228" t="s">
        <v>2783</v>
      </c>
      <c r="K228" t="s">
        <v>185</v>
      </c>
      <c r="L228" t="s">
        <v>186</v>
      </c>
      <c r="M228" t="s">
        <v>74</v>
      </c>
      <c r="N228" t="s">
        <v>80</v>
      </c>
      <c r="O228" t="s">
        <v>786</v>
      </c>
      <c r="P228" t="s">
        <v>44</v>
      </c>
      <c r="Q228">
        <v>1</v>
      </c>
      <c r="R228">
        <v>2208.27</v>
      </c>
      <c r="S228">
        <v>0.1</v>
      </c>
      <c r="T228" s="12">
        <f>S228</f>
        <v>0.1</v>
      </c>
      <c r="U228">
        <v>1987.44</v>
      </c>
      <c r="V228">
        <f>Q228*R228*(1-S228)</f>
        <v>1987.443</v>
      </c>
      <c r="W228">
        <v>1110.23</v>
      </c>
      <c r="X228">
        <v>877.21</v>
      </c>
      <c r="Y228">
        <f>V228-W228</f>
        <v>877.21299999999997</v>
      </c>
      <c r="Z228" s="12">
        <f>Y228/V228</f>
        <v>0.44137768982556985</v>
      </c>
      <c r="AA228" t="s">
        <v>32</v>
      </c>
      <c r="AB228" t="s">
        <v>33</v>
      </c>
      <c r="AC228" s="10" t="s">
        <v>2796</v>
      </c>
      <c r="AD228" t="s">
        <v>2782</v>
      </c>
      <c r="AE228" t="str">
        <f>PROPER(TRIM(AB228))</f>
        <v>Completed</v>
      </c>
      <c r="AS228" t="str">
        <f t="shared" si="5"/>
        <v/>
      </c>
    </row>
    <row r="229" spans="1:45">
      <c r="A229" t="s">
        <v>787</v>
      </c>
      <c r="B229" s="7">
        <v>45478</v>
      </c>
      <c r="C229" s="4">
        <v>45485</v>
      </c>
      <c r="D229">
        <f>C229-B229</f>
        <v>7</v>
      </c>
      <c r="E229" t="str">
        <f>TEXT(B229,"mmmm")</f>
        <v>July</v>
      </c>
      <c r="F229">
        <f>YEAR(B229)</f>
        <v>2024</v>
      </c>
      <c r="G229" t="s">
        <v>788</v>
      </c>
      <c r="H229" t="s">
        <v>62</v>
      </c>
      <c r="I229" t="s">
        <v>37</v>
      </c>
      <c r="J229" t="s">
        <v>63</v>
      </c>
      <c r="K229" t="s">
        <v>190</v>
      </c>
      <c r="L229" t="s">
        <v>191</v>
      </c>
      <c r="M229" t="s">
        <v>28</v>
      </c>
      <c r="N229" t="s">
        <v>153</v>
      </c>
      <c r="O229" t="s">
        <v>789</v>
      </c>
      <c r="P229" t="s">
        <v>50</v>
      </c>
      <c r="Q229">
        <v>3</v>
      </c>
      <c r="R229">
        <v>577.75</v>
      </c>
      <c r="S229">
        <v>0.15</v>
      </c>
      <c r="T229" s="12">
        <f>S229</f>
        <v>0.15</v>
      </c>
      <c r="U229">
        <v>1473.26</v>
      </c>
      <c r="V229">
        <f>Q229*R229*(1-S229)</f>
        <v>1473.2625</v>
      </c>
      <c r="W229">
        <v>899.86</v>
      </c>
      <c r="X229">
        <v>573.4</v>
      </c>
      <c r="Y229">
        <f>V229-W229</f>
        <v>573.40250000000003</v>
      </c>
      <c r="Z229" s="12">
        <f>Y229/V229</f>
        <v>0.38920592901808065</v>
      </c>
      <c r="AA229" t="s">
        <v>32</v>
      </c>
      <c r="AB229" t="s">
        <v>33</v>
      </c>
      <c r="AC229" s="14" t="s">
        <v>2794</v>
      </c>
      <c r="AD229" t="s">
        <v>2782</v>
      </c>
      <c r="AE229" t="str">
        <f>PROPER(TRIM(AB229))</f>
        <v>Completed</v>
      </c>
      <c r="AS229" t="str">
        <f t="shared" si="5"/>
        <v/>
      </c>
    </row>
    <row r="230" spans="1:45">
      <c r="A230" t="s">
        <v>790</v>
      </c>
      <c r="B230" s="7">
        <v>45406</v>
      </c>
      <c r="C230" s="4">
        <v>45410</v>
      </c>
      <c r="D230">
        <f>C230-B230</f>
        <v>4</v>
      </c>
      <c r="E230" t="str">
        <f>TEXT(B230,"mmmm")</f>
        <v>April</v>
      </c>
      <c r="F230">
        <f>YEAR(B230)</f>
        <v>2024</v>
      </c>
      <c r="G230" t="s">
        <v>791</v>
      </c>
      <c r="H230" t="s">
        <v>23</v>
      </c>
      <c r="I230" t="s">
        <v>37</v>
      </c>
      <c r="J230" t="s">
        <v>54</v>
      </c>
      <c r="K230" t="s">
        <v>55</v>
      </c>
      <c r="L230" t="s">
        <v>56</v>
      </c>
      <c r="M230" t="s">
        <v>28</v>
      </c>
      <c r="N230" t="s">
        <v>91</v>
      </c>
      <c r="O230" t="s">
        <v>792</v>
      </c>
      <c r="P230" t="s">
        <v>31</v>
      </c>
      <c r="Q230">
        <v>1</v>
      </c>
      <c r="R230">
        <v>3194.37</v>
      </c>
      <c r="S230">
        <v>0.15</v>
      </c>
      <c r="T230" s="12">
        <f>S230</f>
        <v>0.15</v>
      </c>
      <c r="U230">
        <v>2715.21</v>
      </c>
      <c r="V230">
        <f>Q230*R230*(1-S230)</f>
        <v>2715.2145</v>
      </c>
      <c r="W230">
        <v>1551.55</v>
      </c>
      <c r="X230">
        <v>1163.6600000000001</v>
      </c>
      <c r="Y230">
        <f>V230-W230</f>
        <v>1163.6645000000001</v>
      </c>
      <c r="Z230" s="12">
        <f>Y230/V230</f>
        <v>0.42857184948003191</v>
      </c>
      <c r="AA230" t="s">
        <v>32</v>
      </c>
      <c r="AB230" t="s">
        <v>33</v>
      </c>
      <c r="AC230" s="14" t="s">
        <v>2794</v>
      </c>
      <c r="AD230" t="s">
        <v>2782</v>
      </c>
      <c r="AE230" t="str">
        <f>PROPER(TRIM(AB230))</f>
        <v>Completed</v>
      </c>
      <c r="AS230" t="str">
        <f t="shared" si="5"/>
        <v/>
      </c>
    </row>
    <row r="231" spans="1:45">
      <c r="A231" t="s">
        <v>793</v>
      </c>
      <c r="B231" s="7">
        <v>45836</v>
      </c>
      <c r="C231" s="4">
        <v>45754</v>
      </c>
      <c r="D231" s="10">
        <f>C231-B231</f>
        <v>-82</v>
      </c>
      <c r="E231" t="str">
        <f>TEXT(B231,"mmmm")</f>
        <v>June</v>
      </c>
      <c r="F231">
        <f>YEAR(B231)</f>
        <v>2025</v>
      </c>
      <c r="G231" t="s">
        <v>794</v>
      </c>
      <c r="H231" t="s">
        <v>141</v>
      </c>
      <c r="I231" t="s">
        <v>24</v>
      </c>
      <c r="J231" t="s">
        <v>54</v>
      </c>
      <c r="K231" t="s">
        <v>55</v>
      </c>
      <c r="L231" t="s">
        <v>56</v>
      </c>
      <c r="M231" t="s">
        <v>41</v>
      </c>
      <c r="N231" t="s">
        <v>158</v>
      </c>
      <c r="O231" t="s">
        <v>795</v>
      </c>
      <c r="P231" t="s">
        <v>50</v>
      </c>
      <c r="Q231">
        <v>3</v>
      </c>
      <c r="R231">
        <v>2886.23</v>
      </c>
      <c r="S231">
        <v>0</v>
      </c>
      <c r="T231" s="12">
        <f>S231</f>
        <v>0</v>
      </c>
      <c r="U231">
        <v>8658.69</v>
      </c>
      <c r="V231">
        <f>Q231*R231*(1-S231)</f>
        <v>8658.69</v>
      </c>
      <c r="W231">
        <v>5535.94</v>
      </c>
      <c r="X231">
        <v>3122.75</v>
      </c>
      <c r="Y231">
        <f>V231-W231</f>
        <v>3122.7500000000009</v>
      </c>
      <c r="Z231" s="12">
        <f>Y231/V231</f>
        <v>0.36064924370776652</v>
      </c>
      <c r="AA231" t="s">
        <v>102</v>
      </c>
      <c r="AB231" t="s">
        <v>103</v>
      </c>
      <c r="AC231" s="10" t="s">
        <v>2792</v>
      </c>
      <c r="AD231" t="s">
        <v>2782</v>
      </c>
      <c r="AE231" t="str">
        <f>PROPER(TRIM(AB231))</f>
        <v>Returned</v>
      </c>
      <c r="AS231" t="str">
        <f t="shared" si="5"/>
        <v/>
      </c>
    </row>
    <row r="232" spans="1:45">
      <c r="A232" t="s">
        <v>796</v>
      </c>
      <c r="B232" s="7">
        <v>45440</v>
      </c>
      <c r="C232" s="4">
        <v>45446</v>
      </c>
      <c r="D232">
        <f>C232-B232</f>
        <v>6</v>
      </c>
      <c r="E232" t="str">
        <f>TEXT(B232,"mmmm")</f>
        <v>May</v>
      </c>
      <c r="F232">
        <f>YEAR(B232)</f>
        <v>2024</v>
      </c>
      <c r="G232" t="s">
        <v>797</v>
      </c>
      <c r="H232" t="s">
        <v>79</v>
      </c>
      <c r="I232" t="s">
        <v>37</v>
      </c>
      <c r="J232" t="s">
        <v>25</v>
      </c>
      <c r="K232" t="s">
        <v>26</v>
      </c>
      <c r="L232" t="s">
        <v>27</v>
      </c>
      <c r="M232" t="s">
        <v>28</v>
      </c>
      <c r="N232" t="s">
        <v>29</v>
      </c>
      <c r="O232" t="s">
        <v>798</v>
      </c>
      <c r="P232" t="s">
        <v>59</v>
      </c>
      <c r="Q232">
        <v>8</v>
      </c>
      <c r="R232">
        <v>1540.33</v>
      </c>
      <c r="S232">
        <v>0.1</v>
      </c>
      <c r="T232" s="12">
        <f>S232</f>
        <v>0.1</v>
      </c>
      <c r="U232">
        <v>11090.38</v>
      </c>
      <c r="V232">
        <f>Q232*R232*(1-S232)</f>
        <v>11090.376</v>
      </c>
      <c r="W232">
        <v>8840.9500000000007</v>
      </c>
      <c r="X232">
        <v>2249.4299999999998</v>
      </c>
      <c r="Y232">
        <f>V232-W232</f>
        <v>2249.4259999999995</v>
      </c>
      <c r="Z232" s="12">
        <f>Y232/V232</f>
        <v>0.20282684734944958</v>
      </c>
      <c r="AA232" t="s">
        <v>32</v>
      </c>
      <c r="AB232" t="s">
        <v>33</v>
      </c>
      <c r="AC232" s="14" t="s">
        <v>2794</v>
      </c>
      <c r="AD232" t="s">
        <v>2782</v>
      </c>
      <c r="AE232" t="str">
        <f>PROPER(TRIM(AB232))</f>
        <v>Completed</v>
      </c>
      <c r="AS232" t="str">
        <f t="shared" si="5"/>
        <v/>
      </c>
    </row>
    <row r="233" spans="1:45">
      <c r="A233" t="s">
        <v>799</v>
      </c>
      <c r="B233" s="7">
        <v>45414</v>
      </c>
      <c r="C233" s="4">
        <v>45327</v>
      </c>
      <c r="D233" s="10">
        <f>C233-B233</f>
        <v>-87</v>
      </c>
      <c r="E233" t="str">
        <f>TEXT(B233,"mmmm")</f>
        <v>May</v>
      </c>
      <c r="F233">
        <f>YEAR(B233)</f>
        <v>2024</v>
      </c>
      <c r="G233" t="s">
        <v>800</v>
      </c>
      <c r="H233" t="s">
        <v>62</v>
      </c>
      <c r="I233" t="s">
        <v>90</v>
      </c>
      <c r="J233" t="s">
        <v>25</v>
      </c>
      <c r="K233" t="s">
        <v>26</v>
      </c>
      <c r="L233" t="s">
        <v>27</v>
      </c>
      <c r="M233" t="s">
        <v>28</v>
      </c>
      <c r="N233" t="s">
        <v>91</v>
      </c>
      <c r="O233" t="s">
        <v>801</v>
      </c>
      <c r="P233" t="s">
        <v>50</v>
      </c>
      <c r="Q233">
        <v>7</v>
      </c>
      <c r="R233">
        <v>2183.38</v>
      </c>
      <c r="S233">
        <v>0.25</v>
      </c>
      <c r="T233" s="12">
        <f>S233</f>
        <v>0.25</v>
      </c>
      <c r="U233">
        <v>11462.74</v>
      </c>
      <c r="V233">
        <f>Q233*R233*(1-S233)</f>
        <v>11462.744999999999</v>
      </c>
      <c r="W233">
        <v>7163.54</v>
      </c>
      <c r="X233">
        <v>4299.2</v>
      </c>
      <c r="Y233">
        <f>V233-W233</f>
        <v>4299.204999999999</v>
      </c>
      <c r="Z233" s="12">
        <f>Y233/V233</f>
        <v>0.37505894094302888</v>
      </c>
      <c r="AA233" t="s">
        <v>102</v>
      </c>
      <c r="AB233" t="s">
        <v>68</v>
      </c>
      <c r="AC233" s="10" t="s">
        <v>2792</v>
      </c>
      <c r="AD233" t="s">
        <v>2782</v>
      </c>
      <c r="AE233" t="str">
        <f>PROPER(TRIM(AB233))</f>
        <v>Cancelled</v>
      </c>
      <c r="AS233" t="str">
        <f t="shared" si="5"/>
        <v/>
      </c>
    </row>
    <row r="234" spans="1:45">
      <c r="A234" t="s">
        <v>802</v>
      </c>
      <c r="B234" s="7">
        <v>45812</v>
      </c>
      <c r="C234" s="4">
        <v>45818</v>
      </c>
      <c r="D234">
        <f>C234-B234</f>
        <v>6</v>
      </c>
      <c r="E234" t="str">
        <f>TEXT(B234,"mmmm")</f>
        <v>June</v>
      </c>
      <c r="F234">
        <f>YEAR(B234)</f>
        <v>2025</v>
      </c>
      <c r="G234" t="s">
        <v>803</v>
      </c>
      <c r="H234" t="s">
        <v>118</v>
      </c>
      <c r="I234" t="s">
        <v>24</v>
      </c>
      <c r="J234" t="s">
        <v>54</v>
      </c>
      <c r="K234" t="s">
        <v>84</v>
      </c>
      <c r="L234" t="s">
        <v>85</v>
      </c>
      <c r="M234" t="s">
        <v>74</v>
      </c>
      <c r="N234" t="s">
        <v>171</v>
      </c>
      <c r="O234" t="s">
        <v>804</v>
      </c>
      <c r="P234" t="s">
        <v>59</v>
      </c>
      <c r="Q234">
        <v>4</v>
      </c>
      <c r="R234">
        <v>223.37</v>
      </c>
      <c r="S234">
        <v>0.25</v>
      </c>
      <c r="T234" s="12">
        <f>S234</f>
        <v>0.25</v>
      </c>
      <c r="U234">
        <v>670.11</v>
      </c>
      <c r="V234">
        <f>Q234*R234*(1-S234)</f>
        <v>670.11</v>
      </c>
      <c r="W234">
        <v>559.57000000000005</v>
      </c>
      <c r="X234">
        <v>110.54</v>
      </c>
      <c r="Y234">
        <f>V234-W234</f>
        <v>110.53999999999996</v>
      </c>
      <c r="Z234" s="12">
        <f>Y234/V234</f>
        <v>0.16495799197146732</v>
      </c>
      <c r="AA234" t="s">
        <v>32</v>
      </c>
      <c r="AB234" t="s">
        <v>33</v>
      </c>
      <c r="AC234" s="14" t="s">
        <v>2794</v>
      </c>
      <c r="AD234" t="s">
        <v>2782</v>
      </c>
      <c r="AE234" t="str">
        <f>PROPER(TRIM(AB234))</f>
        <v>Completed</v>
      </c>
      <c r="AS234" t="str">
        <f t="shared" si="5"/>
        <v/>
      </c>
    </row>
    <row r="235" spans="1:45">
      <c r="A235" t="s">
        <v>805</v>
      </c>
      <c r="B235" s="7">
        <v>45579</v>
      </c>
      <c r="C235" s="4">
        <v>45579</v>
      </c>
      <c r="D235">
        <f>C235-B235</f>
        <v>0</v>
      </c>
      <c r="E235" t="str">
        <f>TEXT(B235,"mmmm")</f>
        <v>October</v>
      </c>
      <c r="F235">
        <f>YEAR(B235)</f>
        <v>2024</v>
      </c>
      <c r="G235" t="s">
        <v>806</v>
      </c>
      <c r="H235" t="s">
        <v>71</v>
      </c>
      <c r="I235" t="s">
        <v>90</v>
      </c>
      <c r="J235" t="s">
        <v>54</v>
      </c>
      <c r="K235" t="s">
        <v>175</v>
      </c>
      <c r="L235" t="s">
        <v>176</v>
      </c>
      <c r="M235" t="s">
        <v>41</v>
      </c>
      <c r="N235" t="s">
        <v>158</v>
      </c>
      <c r="O235" t="s">
        <v>807</v>
      </c>
      <c r="P235" t="s">
        <v>2783</v>
      </c>
      <c r="Q235">
        <v>8</v>
      </c>
      <c r="R235">
        <v>3904.59</v>
      </c>
      <c r="S235">
        <v>0</v>
      </c>
      <c r="T235" s="12">
        <f>S235</f>
        <v>0</v>
      </c>
      <c r="U235">
        <v>31236.720000000001</v>
      </c>
      <c r="V235">
        <f>Q235*R235*(1-S235)</f>
        <v>31236.720000000001</v>
      </c>
      <c r="W235">
        <v>26377.7</v>
      </c>
      <c r="X235">
        <v>4859.0200000000004</v>
      </c>
      <c r="Y235">
        <f>V235-W235</f>
        <v>4859.0200000000004</v>
      </c>
      <c r="Z235" s="12">
        <f>Y235/V235</f>
        <v>0.15555474454424154</v>
      </c>
      <c r="AA235" t="s">
        <v>32</v>
      </c>
      <c r="AB235" t="s">
        <v>33</v>
      </c>
      <c r="AC235" s="10" t="s">
        <v>2795</v>
      </c>
      <c r="AD235" t="s">
        <v>2782</v>
      </c>
      <c r="AE235" t="str">
        <f>PROPER(TRIM(AB235))</f>
        <v>Completed</v>
      </c>
      <c r="AS235" t="str">
        <f t="shared" si="5"/>
        <v/>
      </c>
    </row>
    <row r="236" spans="1:45">
      <c r="A236" t="s">
        <v>808</v>
      </c>
      <c r="B236" s="7">
        <v>45331</v>
      </c>
      <c r="C236" s="4">
        <v>45538</v>
      </c>
      <c r="D236">
        <f>C236-B236</f>
        <v>207</v>
      </c>
      <c r="E236" t="str">
        <f>TEXT(B236,"mmmm")</f>
        <v>February</v>
      </c>
      <c r="F236">
        <f>YEAR(B236)</f>
        <v>2024</v>
      </c>
      <c r="G236" t="s">
        <v>809</v>
      </c>
      <c r="H236" t="s">
        <v>264</v>
      </c>
      <c r="I236" t="s">
        <v>95</v>
      </c>
      <c r="J236" t="s">
        <v>25</v>
      </c>
      <c r="K236" t="s">
        <v>350</v>
      </c>
      <c r="L236" t="s">
        <v>351</v>
      </c>
      <c r="M236" t="s">
        <v>41</v>
      </c>
      <c r="N236" t="s">
        <v>57</v>
      </c>
      <c r="O236" t="s">
        <v>810</v>
      </c>
      <c r="P236" t="s">
        <v>50</v>
      </c>
      <c r="Q236">
        <v>9</v>
      </c>
      <c r="R236">
        <v>1353.61</v>
      </c>
      <c r="S236">
        <v>0.1</v>
      </c>
      <c r="T236" s="12">
        <f>S236</f>
        <v>0.1</v>
      </c>
      <c r="U236">
        <v>10964.24</v>
      </c>
      <c r="V236">
        <f>Q236*R236*(1-S236)</f>
        <v>10964.241</v>
      </c>
      <c r="W236">
        <v>9262.4699999999993</v>
      </c>
      <c r="X236">
        <v>1701.77</v>
      </c>
      <c r="Y236">
        <f>V236-W236</f>
        <v>1701.7710000000006</v>
      </c>
      <c r="Z236" s="12">
        <f>Y236/V236</f>
        <v>0.15521101734265058</v>
      </c>
      <c r="AA236" t="s">
        <v>32</v>
      </c>
      <c r="AB236" t="s">
        <v>33</v>
      </c>
      <c r="AC236" s="14" t="s">
        <v>2794</v>
      </c>
      <c r="AD236" t="s">
        <v>2782</v>
      </c>
      <c r="AE236" t="str">
        <f>PROPER(TRIM(AB236))</f>
        <v>Completed</v>
      </c>
      <c r="AS236" t="str">
        <f t="shared" si="5"/>
        <v/>
      </c>
    </row>
    <row r="237" spans="1:45">
      <c r="A237" t="s">
        <v>811</v>
      </c>
      <c r="B237" s="7">
        <v>45333</v>
      </c>
      <c r="C237" s="4">
        <v>45362</v>
      </c>
      <c r="D237">
        <f>C237-B237</f>
        <v>29</v>
      </c>
      <c r="E237" t="str">
        <f>TEXT(B237,"mmmm")</f>
        <v>February</v>
      </c>
      <c r="F237">
        <f>YEAR(B237)</f>
        <v>2024</v>
      </c>
      <c r="G237" t="s">
        <v>812</v>
      </c>
      <c r="H237" t="s">
        <v>118</v>
      </c>
      <c r="I237" t="s">
        <v>37</v>
      </c>
      <c r="J237" t="s">
        <v>63</v>
      </c>
      <c r="K237" t="s">
        <v>26</v>
      </c>
      <c r="L237" t="s">
        <v>109</v>
      </c>
      <c r="M237" t="s">
        <v>28</v>
      </c>
      <c r="N237" t="s">
        <v>124</v>
      </c>
      <c r="O237" t="s">
        <v>813</v>
      </c>
      <c r="P237" t="s">
        <v>59</v>
      </c>
      <c r="Q237">
        <v>6</v>
      </c>
      <c r="R237">
        <v>2671.29</v>
      </c>
      <c r="S237">
        <v>0.05</v>
      </c>
      <c r="T237" s="12">
        <f>S237</f>
        <v>0.05</v>
      </c>
      <c r="U237">
        <v>15226.35</v>
      </c>
      <c r="V237">
        <f>Q237*R237*(1-S237)</f>
        <v>15226.352999999999</v>
      </c>
      <c r="W237">
        <v>11145.28</v>
      </c>
      <c r="X237">
        <v>4081.07</v>
      </c>
      <c r="Y237">
        <f>V237-W237</f>
        <v>4081.0729999999985</v>
      </c>
      <c r="Z237" s="12">
        <f>Y237/V237</f>
        <v>0.26802695300706603</v>
      </c>
      <c r="AA237" t="s">
        <v>32</v>
      </c>
      <c r="AB237" t="s">
        <v>33</v>
      </c>
      <c r="AC237" s="14" t="s">
        <v>2794</v>
      </c>
      <c r="AD237" t="s">
        <v>2782</v>
      </c>
      <c r="AE237" t="str">
        <f>PROPER(TRIM(AB237))</f>
        <v>Completed</v>
      </c>
      <c r="AS237" t="str">
        <f t="shared" si="5"/>
        <v/>
      </c>
    </row>
    <row r="238" spans="1:45">
      <c r="A238" t="s">
        <v>814</v>
      </c>
      <c r="B238" s="7">
        <v>45579</v>
      </c>
      <c r="C238" s="4">
        <v>45586</v>
      </c>
      <c r="D238">
        <f>C238-B238</f>
        <v>7</v>
      </c>
      <c r="E238" t="str">
        <f>TEXT(B238,"mmmm")</f>
        <v>October</v>
      </c>
      <c r="F238">
        <f>YEAR(B238)</f>
        <v>2024</v>
      </c>
      <c r="G238" t="s">
        <v>815</v>
      </c>
      <c r="H238" t="s">
        <v>114</v>
      </c>
      <c r="I238" t="s">
        <v>90</v>
      </c>
      <c r="J238" t="s">
        <v>25</v>
      </c>
      <c r="K238" t="s">
        <v>136</v>
      </c>
      <c r="L238" t="s">
        <v>137</v>
      </c>
      <c r="M238" t="s">
        <v>41</v>
      </c>
      <c r="N238" t="s">
        <v>158</v>
      </c>
      <c r="O238" t="s">
        <v>816</v>
      </c>
      <c r="P238" t="s">
        <v>50</v>
      </c>
      <c r="Q238">
        <v>6</v>
      </c>
      <c r="R238">
        <v>4062.78</v>
      </c>
      <c r="S238">
        <v>0</v>
      </c>
      <c r="T238" s="12">
        <f>S238</f>
        <v>0</v>
      </c>
      <c r="U238">
        <v>24376.68</v>
      </c>
      <c r="V238">
        <f>Q238*R238*(1-S238)</f>
        <v>24376.68</v>
      </c>
      <c r="W238">
        <v>18533.39</v>
      </c>
      <c r="X238">
        <v>5843.29</v>
      </c>
      <c r="Y238">
        <f>V238-W238</f>
        <v>5843.2900000000009</v>
      </c>
      <c r="Z238" s="12">
        <f>Y238/V238</f>
        <v>0.23970819652224998</v>
      </c>
      <c r="AA238" t="s">
        <v>32</v>
      </c>
      <c r="AB238" t="s">
        <v>33</v>
      </c>
      <c r="AC238" s="14" t="s">
        <v>2794</v>
      </c>
      <c r="AD238" t="s">
        <v>2782</v>
      </c>
      <c r="AE238" t="str">
        <f>PROPER(TRIM(AB238))</f>
        <v>Completed</v>
      </c>
      <c r="AS238" t="str">
        <f t="shared" si="5"/>
        <v/>
      </c>
    </row>
    <row r="239" spans="1:45">
      <c r="A239" t="s">
        <v>817</v>
      </c>
      <c r="B239" s="7">
        <v>45531</v>
      </c>
      <c r="C239" s="4">
        <v>45531</v>
      </c>
      <c r="D239">
        <f>C239-B239</f>
        <v>0</v>
      </c>
      <c r="E239" t="str">
        <f>TEXT(B239,"mmmm")</f>
        <v>August</v>
      </c>
      <c r="F239">
        <f>YEAR(B239)</f>
        <v>2024</v>
      </c>
      <c r="G239" t="s">
        <v>818</v>
      </c>
      <c r="H239" t="s">
        <v>36</v>
      </c>
      <c r="I239" t="s">
        <v>24</v>
      </c>
      <c r="J239" t="s">
        <v>25</v>
      </c>
      <c r="K239" t="s">
        <v>236</v>
      </c>
      <c r="L239" t="s">
        <v>237</v>
      </c>
      <c r="M239" t="s">
        <v>74</v>
      </c>
      <c r="N239" t="s">
        <v>80</v>
      </c>
      <c r="O239" t="s">
        <v>819</v>
      </c>
      <c r="P239" t="s">
        <v>59</v>
      </c>
      <c r="Q239">
        <v>9</v>
      </c>
      <c r="R239">
        <v>2330.3000000000002</v>
      </c>
      <c r="S239">
        <v>0</v>
      </c>
      <c r="T239" s="12">
        <f>S239</f>
        <v>0</v>
      </c>
      <c r="U239">
        <v>20972.7</v>
      </c>
      <c r="V239">
        <f>Q239*R239*(1-S239)</f>
        <v>20972.7</v>
      </c>
      <c r="W239">
        <v>13504.88</v>
      </c>
      <c r="X239">
        <v>7467.82</v>
      </c>
      <c r="Y239">
        <f>V239-W239</f>
        <v>7467.8200000000015</v>
      </c>
      <c r="Z239" s="12">
        <f>Y239/V239</f>
        <v>0.35607337157352181</v>
      </c>
      <c r="AA239" t="s">
        <v>32</v>
      </c>
      <c r="AB239" t="s">
        <v>33</v>
      </c>
      <c r="AC239" s="14" t="s">
        <v>2794</v>
      </c>
      <c r="AD239" t="s">
        <v>2782</v>
      </c>
      <c r="AE239" t="str">
        <f>PROPER(TRIM(AB239))</f>
        <v>Completed</v>
      </c>
      <c r="AS239" t="str">
        <f t="shared" si="5"/>
        <v/>
      </c>
    </row>
    <row r="240" spans="1:45">
      <c r="A240" t="s">
        <v>820</v>
      </c>
      <c r="B240" s="7">
        <v>45627</v>
      </c>
      <c r="C240" s="4">
        <v>45308</v>
      </c>
      <c r="D240" s="10">
        <f>C240-B240</f>
        <v>-319</v>
      </c>
      <c r="E240" t="str">
        <f>TEXT(B240,"mmmm")</f>
        <v>December</v>
      </c>
      <c r="F240">
        <f>YEAR(B240)</f>
        <v>2024</v>
      </c>
      <c r="G240" t="s">
        <v>821</v>
      </c>
      <c r="H240" t="s">
        <v>53</v>
      </c>
      <c r="I240" t="s">
        <v>24</v>
      </c>
      <c r="J240" t="s">
        <v>54</v>
      </c>
      <c r="K240" t="s">
        <v>84</v>
      </c>
      <c r="L240" t="s">
        <v>85</v>
      </c>
      <c r="M240" t="s">
        <v>28</v>
      </c>
      <c r="N240" t="s">
        <v>124</v>
      </c>
      <c r="O240" t="s">
        <v>822</v>
      </c>
      <c r="P240" t="s">
        <v>50</v>
      </c>
      <c r="Q240">
        <v>7</v>
      </c>
      <c r="R240">
        <v>4005.05</v>
      </c>
      <c r="S240">
        <v>0.55000000000000004</v>
      </c>
      <c r="T240" s="12">
        <f>S240</f>
        <v>0.55000000000000004</v>
      </c>
      <c r="U240">
        <v>26633.58</v>
      </c>
      <c r="V240">
        <f>Q240*R240*(1-S240)</f>
        <v>12615.907499999999</v>
      </c>
      <c r="W240">
        <v>18838.75</v>
      </c>
      <c r="X240">
        <v>7794.83</v>
      </c>
      <c r="Y240">
        <f>V240-W240</f>
        <v>-6222.8425000000007</v>
      </c>
      <c r="Z240" s="12">
        <f>Y240/V240</f>
        <v>-0.4932536561480021</v>
      </c>
      <c r="AA240" t="s">
        <v>32</v>
      </c>
      <c r="AB240" t="s">
        <v>33</v>
      </c>
      <c r="AC240" s="10" t="s">
        <v>2792</v>
      </c>
      <c r="AD240" t="s">
        <v>2782</v>
      </c>
      <c r="AE240" t="str">
        <f>PROPER(TRIM(AB240))</f>
        <v>Completed</v>
      </c>
      <c r="AS240" t="str">
        <f t="shared" si="5"/>
        <v/>
      </c>
    </row>
    <row r="241" spans="1:45">
      <c r="A241" t="s">
        <v>823</v>
      </c>
      <c r="B241" s="7">
        <v>45556</v>
      </c>
      <c r="C241" s="4">
        <v>45556</v>
      </c>
      <c r="D241">
        <f>C241-B241</f>
        <v>0</v>
      </c>
      <c r="E241" t="str">
        <f>TEXT(B241,"mmmm")</f>
        <v>September</v>
      </c>
      <c r="F241">
        <f>YEAR(B241)</f>
        <v>2024</v>
      </c>
      <c r="G241" t="s">
        <v>824</v>
      </c>
      <c r="H241" t="s">
        <v>264</v>
      </c>
      <c r="I241" t="s">
        <v>90</v>
      </c>
      <c r="J241" t="s">
        <v>54</v>
      </c>
      <c r="K241" t="s">
        <v>175</v>
      </c>
      <c r="L241" t="s">
        <v>176</v>
      </c>
      <c r="M241" t="s">
        <v>74</v>
      </c>
      <c r="N241" t="s">
        <v>274</v>
      </c>
      <c r="O241" t="s">
        <v>825</v>
      </c>
      <c r="P241" t="s">
        <v>50</v>
      </c>
      <c r="Q241">
        <v>2</v>
      </c>
      <c r="R241">
        <v>1960.06</v>
      </c>
      <c r="S241">
        <v>0.2</v>
      </c>
      <c r="T241" s="12">
        <f>S241</f>
        <v>0.2</v>
      </c>
      <c r="U241">
        <v>3136.1</v>
      </c>
      <c r="V241">
        <f>Q241*R241*(1-S241)</f>
        <v>3136.096</v>
      </c>
      <c r="W241">
        <v>2279.4899999999998</v>
      </c>
      <c r="X241">
        <v>856.61</v>
      </c>
      <c r="Y241">
        <f>V241-W241</f>
        <v>856.60600000000022</v>
      </c>
      <c r="Z241" s="12">
        <f>Y241/V241</f>
        <v>0.273144061916472</v>
      </c>
      <c r="AA241" t="s">
        <v>32</v>
      </c>
      <c r="AB241" t="s">
        <v>33</v>
      </c>
      <c r="AC241" s="14" t="s">
        <v>2794</v>
      </c>
      <c r="AD241" t="s">
        <v>2782</v>
      </c>
      <c r="AE241" t="str">
        <f>PROPER(TRIM(AB241))</f>
        <v>Completed</v>
      </c>
      <c r="AS241" t="str">
        <f t="shared" si="5"/>
        <v/>
      </c>
    </row>
    <row r="242" spans="1:45">
      <c r="A242" t="s">
        <v>826</v>
      </c>
      <c r="B242" s="7">
        <v>45643</v>
      </c>
      <c r="C242" s="4">
        <v>45649</v>
      </c>
      <c r="D242">
        <f>C242-B242</f>
        <v>6</v>
      </c>
      <c r="E242" t="str">
        <f>TEXT(B242,"mmmm")</f>
        <v>December</v>
      </c>
      <c r="F242">
        <f>YEAR(B242)</f>
        <v>2024</v>
      </c>
      <c r="G242" t="s">
        <v>827</v>
      </c>
      <c r="H242" t="s">
        <v>128</v>
      </c>
      <c r="I242" t="s">
        <v>90</v>
      </c>
      <c r="J242" t="s">
        <v>54</v>
      </c>
      <c r="K242" t="s">
        <v>55</v>
      </c>
      <c r="L242" t="s">
        <v>56</v>
      </c>
      <c r="M242" t="s">
        <v>28</v>
      </c>
      <c r="N242" t="s">
        <v>153</v>
      </c>
      <c r="O242" t="s">
        <v>828</v>
      </c>
      <c r="P242" t="s">
        <v>50</v>
      </c>
      <c r="Q242">
        <v>9</v>
      </c>
      <c r="R242">
        <v>2315.1</v>
      </c>
      <c r="S242">
        <v>0</v>
      </c>
      <c r="T242" s="12">
        <f>S242</f>
        <v>0</v>
      </c>
      <c r="U242">
        <v>20835.900000000001</v>
      </c>
      <c r="V242">
        <f>Q242*R242*(1-S242)</f>
        <v>20835.899999999998</v>
      </c>
      <c r="W242">
        <v>13928.19</v>
      </c>
      <c r="X242">
        <v>6907.71</v>
      </c>
      <c r="Y242">
        <f>V242-W242</f>
        <v>6907.7099999999973</v>
      </c>
      <c r="Z242" s="12">
        <f>Y242/V242</f>
        <v>0.33152923559817421</v>
      </c>
      <c r="AA242" t="s">
        <v>32</v>
      </c>
      <c r="AB242" t="s">
        <v>33</v>
      </c>
      <c r="AC242" s="14" t="s">
        <v>2794</v>
      </c>
      <c r="AD242" t="s">
        <v>2782</v>
      </c>
      <c r="AE242" t="str">
        <f>PROPER(TRIM(AB242))</f>
        <v>Completed</v>
      </c>
      <c r="AS242" t="str">
        <f t="shared" si="5"/>
        <v/>
      </c>
    </row>
    <row r="243" spans="1:45">
      <c r="A243" t="s">
        <v>829</v>
      </c>
      <c r="B243" s="7">
        <v>45815</v>
      </c>
      <c r="C243" s="4">
        <v>45844</v>
      </c>
      <c r="D243">
        <f>C243-B243</f>
        <v>29</v>
      </c>
      <c r="E243" t="str">
        <f>TEXT(B243,"mmmm")</f>
        <v>June</v>
      </c>
      <c r="F243">
        <f>YEAR(B243)</f>
        <v>2025</v>
      </c>
      <c r="G243" t="s">
        <v>830</v>
      </c>
      <c r="H243" t="s">
        <v>132</v>
      </c>
      <c r="I243" t="s">
        <v>90</v>
      </c>
      <c r="J243" t="s">
        <v>25</v>
      </c>
      <c r="K243" t="s">
        <v>236</v>
      </c>
      <c r="L243" t="s">
        <v>237</v>
      </c>
      <c r="M243" t="s">
        <v>28</v>
      </c>
      <c r="N243" t="s">
        <v>124</v>
      </c>
      <c r="O243" t="s">
        <v>831</v>
      </c>
      <c r="P243" t="s">
        <v>59</v>
      </c>
      <c r="Q243">
        <v>1</v>
      </c>
      <c r="R243">
        <v>1617.2</v>
      </c>
      <c r="S243">
        <v>0.25</v>
      </c>
      <c r="T243" s="12">
        <f>S243</f>
        <v>0.25</v>
      </c>
      <c r="U243">
        <v>1212.9000000000001</v>
      </c>
      <c r="V243">
        <f>Q243*R243*(1-S243)</f>
        <v>1212.9000000000001</v>
      </c>
      <c r="W243">
        <v>690.52</v>
      </c>
      <c r="X243">
        <v>522.38</v>
      </c>
      <c r="Y243">
        <f>V243-W243</f>
        <v>522.38000000000011</v>
      </c>
      <c r="Z243" s="12">
        <f>Y243/V243</f>
        <v>0.4306867837414462</v>
      </c>
      <c r="AA243" t="s">
        <v>111</v>
      </c>
      <c r="AB243" t="s">
        <v>103</v>
      </c>
      <c r="AC243" s="14" t="s">
        <v>2794</v>
      </c>
      <c r="AD243" t="s">
        <v>2782</v>
      </c>
      <c r="AE243" t="str">
        <f>PROPER(TRIM(AB243))</f>
        <v>Returned</v>
      </c>
      <c r="AS243" t="str">
        <f t="shared" si="5"/>
        <v/>
      </c>
    </row>
    <row r="244" spans="1:45">
      <c r="A244" t="s">
        <v>832</v>
      </c>
      <c r="B244" s="7">
        <v>45695</v>
      </c>
      <c r="C244" s="4">
        <v>45695</v>
      </c>
      <c r="D244">
        <f>C244-B244</f>
        <v>0</v>
      </c>
      <c r="E244" t="str">
        <f>TEXT(B244,"mmmm")</f>
        <v>February</v>
      </c>
      <c r="F244">
        <f>YEAR(B244)</f>
        <v>2025</v>
      </c>
      <c r="G244" t="s">
        <v>833</v>
      </c>
      <c r="H244" t="s">
        <v>53</v>
      </c>
      <c r="I244" t="s">
        <v>24</v>
      </c>
      <c r="J244" t="s">
        <v>25</v>
      </c>
      <c r="K244" t="s">
        <v>136</v>
      </c>
      <c r="L244" t="s">
        <v>137</v>
      </c>
      <c r="M244" t="s">
        <v>28</v>
      </c>
      <c r="N244" t="s">
        <v>48</v>
      </c>
      <c r="O244" t="s">
        <v>834</v>
      </c>
      <c r="P244" t="s">
        <v>31</v>
      </c>
      <c r="Q244">
        <v>3</v>
      </c>
      <c r="R244">
        <v>1999.24</v>
      </c>
      <c r="S244">
        <v>0.05</v>
      </c>
      <c r="T244" s="12">
        <f>S244</f>
        <v>0.05</v>
      </c>
      <c r="U244">
        <v>5697.83</v>
      </c>
      <c r="V244">
        <f>Q244*R244*(1-S244)</f>
        <v>5697.8339999999998</v>
      </c>
      <c r="W244">
        <v>4251.5</v>
      </c>
      <c r="X244">
        <v>1446.33</v>
      </c>
      <c r="Y244">
        <f>V244-W244</f>
        <v>1446.3339999999998</v>
      </c>
      <c r="Z244" s="12">
        <f>Y244/V244</f>
        <v>0.25383926593860051</v>
      </c>
      <c r="AA244" t="s">
        <v>32</v>
      </c>
      <c r="AB244" t="s">
        <v>33</v>
      </c>
      <c r="AC244" s="14" t="s">
        <v>2794</v>
      </c>
      <c r="AD244" t="s">
        <v>2782</v>
      </c>
      <c r="AE244" t="str">
        <f>PROPER(TRIM(AB244))</f>
        <v>Completed</v>
      </c>
      <c r="AS244" t="str">
        <f t="shared" si="5"/>
        <v/>
      </c>
    </row>
    <row r="245" spans="1:45">
      <c r="A245" t="s">
        <v>835</v>
      </c>
      <c r="B245" s="7">
        <v>45867</v>
      </c>
      <c r="C245" s="4">
        <v>45871</v>
      </c>
      <c r="D245">
        <f>C245-B245</f>
        <v>4</v>
      </c>
      <c r="E245" t="str">
        <f>TEXT(B245,"mmmm")</f>
        <v>July</v>
      </c>
      <c r="F245">
        <f>YEAR(B245)</f>
        <v>2025</v>
      </c>
      <c r="G245" t="s">
        <v>836</v>
      </c>
      <c r="H245" t="s">
        <v>132</v>
      </c>
      <c r="I245" t="s">
        <v>37</v>
      </c>
      <c r="J245" t="s">
        <v>2783</v>
      </c>
      <c r="K245" t="s">
        <v>72</v>
      </c>
      <c r="L245" t="s">
        <v>73</v>
      </c>
      <c r="M245" t="s">
        <v>74</v>
      </c>
      <c r="N245" t="s">
        <v>75</v>
      </c>
      <c r="O245" t="s">
        <v>837</v>
      </c>
      <c r="P245" t="s">
        <v>50</v>
      </c>
      <c r="Q245">
        <v>1</v>
      </c>
      <c r="R245">
        <v>4499.46</v>
      </c>
      <c r="S245">
        <v>0.1</v>
      </c>
      <c r="T245" s="12">
        <f>S245</f>
        <v>0.1</v>
      </c>
      <c r="U245">
        <v>4049.51</v>
      </c>
      <c r="V245">
        <f>Q245*R245*(1-S245)</f>
        <v>4049.5140000000001</v>
      </c>
      <c r="W245">
        <v>2509.1999999999998</v>
      </c>
      <c r="X245">
        <v>1540.31</v>
      </c>
      <c r="Y245">
        <f>V245-W245</f>
        <v>1540.3140000000003</v>
      </c>
      <c r="Z245" s="12">
        <f>Y245/V245</f>
        <v>0.38037008885510715</v>
      </c>
      <c r="AA245" t="s">
        <v>32</v>
      </c>
      <c r="AB245" t="s">
        <v>33</v>
      </c>
      <c r="AC245" s="10" t="s">
        <v>2796</v>
      </c>
      <c r="AD245" t="s">
        <v>2782</v>
      </c>
      <c r="AE245" t="str">
        <f>PROPER(TRIM(AB245))</f>
        <v>Completed</v>
      </c>
      <c r="AS245" t="str">
        <f t="shared" si="5"/>
        <v/>
      </c>
    </row>
    <row r="246" spans="1:45">
      <c r="A246" t="s">
        <v>838</v>
      </c>
      <c r="B246" s="7">
        <v>45527</v>
      </c>
      <c r="C246" s="4">
        <v>45528</v>
      </c>
      <c r="D246">
        <f>C246-B246</f>
        <v>1</v>
      </c>
      <c r="E246" t="str">
        <f>TEXT(B246,"mmmm")</f>
        <v>August</v>
      </c>
      <c r="F246">
        <f>YEAR(B246)</f>
        <v>2024</v>
      </c>
      <c r="G246" t="s">
        <v>839</v>
      </c>
      <c r="H246" t="s">
        <v>79</v>
      </c>
      <c r="I246" t="s">
        <v>24</v>
      </c>
      <c r="J246" t="s">
        <v>54</v>
      </c>
      <c r="K246" t="s">
        <v>55</v>
      </c>
      <c r="L246" t="s">
        <v>56</v>
      </c>
      <c r="M246" t="s">
        <v>41</v>
      </c>
      <c r="N246" t="s">
        <v>158</v>
      </c>
      <c r="O246" t="s">
        <v>840</v>
      </c>
      <c r="P246" t="s">
        <v>44</v>
      </c>
      <c r="Q246">
        <v>6</v>
      </c>
      <c r="R246">
        <v>1021.89</v>
      </c>
      <c r="S246">
        <v>0</v>
      </c>
      <c r="T246" s="12">
        <f>S246</f>
        <v>0</v>
      </c>
      <c r="U246">
        <v>6131.34</v>
      </c>
      <c r="V246">
        <f>Q246*R246*(1-S246)</f>
        <v>6131.34</v>
      </c>
      <c r="W246">
        <v>4060.88</v>
      </c>
      <c r="X246">
        <v>2070.46</v>
      </c>
      <c r="Y246">
        <f>V246-W246</f>
        <v>2070.46</v>
      </c>
      <c r="Z246" s="12">
        <f>Y246/V246</f>
        <v>0.33768474754295147</v>
      </c>
      <c r="AA246" t="s">
        <v>32</v>
      </c>
      <c r="AB246" t="s">
        <v>33</v>
      </c>
      <c r="AC246" s="14" t="s">
        <v>2794</v>
      </c>
      <c r="AD246" t="s">
        <v>2782</v>
      </c>
      <c r="AE246" t="str">
        <f>PROPER(TRIM(AB246))</f>
        <v>Completed</v>
      </c>
      <c r="AS246" t="str">
        <f t="shared" si="5"/>
        <v/>
      </c>
    </row>
    <row r="247" spans="1:45">
      <c r="A247" t="s">
        <v>841</v>
      </c>
      <c r="B247" s="7">
        <v>45583</v>
      </c>
      <c r="C247" s="4">
        <v>45589</v>
      </c>
      <c r="D247">
        <f>C247-B247</f>
        <v>6</v>
      </c>
      <c r="E247" t="str">
        <f>TEXT(B247,"mmmm")</f>
        <v>October</v>
      </c>
      <c r="F247">
        <f>YEAR(B247)</f>
        <v>2024</v>
      </c>
      <c r="G247" t="s">
        <v>842</v>
      </c>
      <c r="H247" t="s">
        <v>79</v>
      </c>
      <c r="I247" t="s">
        <v>95</v>
      </c>
      <c r="J247" t="s">
        <v>54</v>
      </c>
      <c r="K247" t="s">
        <v>185</v>
      </c>
      <c r="L247" t="s">
        <v>186</v>
      </c>
      <c r="M247" t="s">
        <v>41</v>
      </c>
      <c r="N247" t="s">
        <v>66</v>
      </c>
      <c r="O247" t="s">
        <v>843</v>
      </c>
      <c r="P247" t="s">
        <v>31</v>
      </c>
      <c r="Q247">
        <v>3</v>
      </c>
      <c r="R247">
        <v>3275.93</v>
      </c>
      <c r="S247">
        <v>0</v>
      </c>
      <c r="T247" s="12">
        <f>S247</f>
        <v>0</v>
      </c>
      <c r="U247">
        <v>9827.7900000000009</v>
      </c>
      <c r="V247">
        <f>Q247*R247*(1-S247)</f>
        <v>9827.7899999999991</v>
      </c>
      <c r="W247">
        <v>5478.28</v>
      </c>
      <c r="X247">
        <v>4349.51</v>
      </c>
      <c r="Y247">
        <f>V247-W247</f>
        <v>4349.5099999999993</v>
      </c>
      <c r="Z247" s="12">
        <f>Y247/V247</f>
        <v>0.44257254174132737</v>
      </c>
      <c r="AA247" t="s">
        <v>32</v>
      </c>
      <c r="AB247" t="s">
        <v>33</v>
      </c>
      <c r="AC247" s="14" t="s">
        <v>2794</v>
      </c>
      <c r="AD247" t="s">
        <v>2782</v>
      </c>
      <c r="AE247" t="str">
        <f>PROPER(TRIM(AB247))</f>
        <v>Completed</v>
      </c>
      <c r="AS247" t="str">
        <f t="shared" si="5"/>
        <v/>
      </c>
    </row>
    <row r="248" spans="1:45">
      <c r="A248" t="s">
        <v>844</v>
      </c>
      <c r="B248" s="7">
        <v>45416</v>
      </c>
      <c r="C248" s="4">
        <v>45421</v>
      </c>
      <c r="D248">
        <f>C248-B248</f>
        <v>5</v>
      </c>
      <c r="E248" t="str">
        <f>TEXT(B248,"mmmm")</f>
        <v>May</v>
      </c>
      <c r="F248">
        <f>YEAR(B248)</f>
        <v>2024</v>
      </c>
      <c r="G248" t="s">
        <v>845</v>
      </c>
      <c r="H248" t="s">
        <v>62</v>
      </c>
      <c r="I248" t="s">
        <v>90</v>
      </c>
      <c r="J248" t="s">
        <v>25</v>
      </c>
      <c r="K248" t="s">
        <v>122</v>
      </c>
      <c r="L248" t="s">
        <v>123</v>
      </c>
      <c r="M248" t="s">
        <v>74</v>
      </c>
      <c r="N248" t="s">
        <v>274</v>
      </c>
      <c r="O248" t="s">
        <v>846</v>
      </c>
      <c r="P248" t="s">
        <v>44</v>
      </c>
      <c r="Q248">
        <v>3</v>
      </c>
      <c r="R248">
        <v>231.95</v>
      </c>
      <c r="S248">
        <v>0.25</v>
      </c>
      <c r="T248" s="12">
        <f>S248</f>
        <v>0.25</v>
      </c>
      <c r="U248">
        <v>521.89</v>
      </c>
      <c r="V248">
        <f>Q248*R248*(1-S248)</f>
        <v>521.88749999999993</v>
      </c>
      <c r="W248">
        <v>444.52</v>
      </c>
      <c r="X248">
        <v>77.37</v>
      </c>
      <c r="Y248">
        <f>V248-W248</f>
        <v>77.36749999999995</v>
      </c>
      <c r="Z248" s="12">
        <f>Y248/V248</f>
        <v>0.14824555100476627</v>
      </c>
      <c r="AA248" t="s">
        <v>102</v>
      </c>
      <c r="AB248" t="s">
        <v>68</v>
      </c>
      <c r="AC248" s="14" t="s">
        <v>2794</v>
      </c>
      <c r="AD248" t="s">
        <v>2782</v>
      </c>
      <c r="AE248" t="str">
        <f>PROPER(TRIM(AB248))</f>
        <v>Cancelled</v>
      </c>
      <c r="AS248" t="str">
        <f t="shared" si="5"/>
        <v/>
      </c>
    </row>
    <row r="249" spans="1:45">
      <c r="A249" t="s">
        <v>847</v>
      </c>
      <c r="B249" s="7">
        <v>45498</v>
      </c>
      <c r="C249" s="4">
        <v>45505</v>
      </c>
      <c r="D249">
        <f>C249-B249</f>
        <v>7</v>
      </c>
      <c r="E249" t="str">
        <f>TEXT(B249,"mmmm")</f>
        <v>July</v>
      </c>
      <c r="F249">
        <f>YEAR(B249)</f>
        <v>2024</v>
      </c>
      <c r="G249" t="s">
        <v>848</v>
      </c>
      <c r="H249" t="s">
        <v>118</v>
      </c>
      <c r="I249" t="s">
        <v>90</v>
      </c>
      <c r="J249" t="s">
        <v>25</v>
      </c>
      <c r="K249" t="s">
        <v>26</v>
      </c>
      <c r="L249" t="s">
        <v>27</v>
      </c>
      <c r="M249" t="s">
        <v>74</v>
      </c>
      <c r="N249" t="s">
        <v>75</v>
      </c>
      <c r="O249" t="s">
        <v>849</v>
      </c>
      <c r="P249" t="s">
        <v>31</v>
      </c>
      <c r="Q249">
        <v>8</v>
      </c>
      <c r="R249">
        <v>2493.4</v>
      </c>
      <c r="S249">
        <v>0.25</v>
      </c>
      <c r="T249" s="12">
        <f>S249</f>
        <v>0.25</v>
      </c>
      <c r="U249">
        <v>14960.4</v>
      </c>
      <c r="V249">
        <f>Q249*R249*(1-S249)</f>
        <v>14960.400000000001</v>
      </c>
      <c r="W249">
        <v>12500.84</v>
      </c>
      <c r="X249">
        <v>2459.56</v>
      </c>
      <c r="Y249">
        <f>V249-W249</f>
        <v>2459.5600000000013</v>
      </c>
      <c r="Z249" s="12">
        <f>Y249/V249</f>
        <v>0.16440469506162944</v>
      </c>
      <c r="AA249" t="s">
        <v>32</v>
      </c>
      <c r="AB249" t="s">
        <v>33</v>
      </c>
      <c r="AC249" s="14" t="s">
        <v>2794</v>
      </c>
      <c r="AD249" t="s">
        <v>2782</v>
      </c>
      <c r="AE249" t="str">
        <f>PROPER(TRIM(AB249))</f>
        <v>Completed</v>
      </c>
      <c r="AS249" t="str">
        <f t="shared" si="5"/>
        <v/>
      </c>
    </row>
    <row r="250" spans="1:45">
      <c r="A250" t="s">
        <v>850</v>
      </c>
      <c r="B250" s="7">
        <v>45328</v>
      </c>
      <c r="C250" s="4">
        <v>45450</v>
      </c>
      <c r="D250">
        <f>C250-B250</f>
        <v>122</v>
      </c>
      <c r="E250" t="str">
        <f>TEXT(B250,"mmmm")</f>
        <v>February</v>
      </c>
      <c r="F250">
        <f>YEAR(B250)</f>
        <v>2024</v>
      </c>
      <c r="G250" t="s">
        <v>851</v>
      </c>
      <c r="H250" t="s">
        <v>141</v>
      </c>
      <c r="I250" t="s">
        <v>95</v>
      </c>
      <c r="J250" t="s">
        <v>38</v>
      </c>
      <c r="K250" t="s">
        <v>39</v>
      </c>
      <c r="L250" t="s">
        <v>40</v>
      </c>
      <c r="M250" t="s">
        <v>28</v>
      </c>
      <c r="N250" t="s">
        <v>91</v>
      </c>
      <c r="O250" t="s">
        <v>852</v>
      </c>
      <c r="P250" t="s">
        <v>31</v>
      </c>
      <c r="Q250">
        <v>9</v>
      </c>
      <c r="R250">
        <v>787.91</v>
      </c>
      <c r="S250">
        <v>0.15</v>
      </c>
      <c r="T250" s="12">
        <f>S250</f>
        <v>0.15</v>
      </c>
      <c r="U250">
        <v>6027.51</v>
      </c>
      <c r="V250">
        <f>Q250*R250*(1-S250)</f>
        <v>6027.5114999999996</v>
      </c>
      <c r="W250">
        <v>4883.82</v>
      </c>
      <c r="X250">
        <v>1143.69</v>
      </c>
      <c r="Y250">
        <f>V250-W250</f>
        <v>1143.6914999999999</v>
      </c>
      <c r="Z250" s="12">
        <f>Y250/V250</f>
        <v>0.18974522072666306</v>
      </c>
      <c r="AA250" t="s">
        <v>32</v>
      </c>
      <c r="AB250" t="s">
        <v>33</v>
      </c>
      <c r="AC250" s="14" t="s">
        <v>2794</v>
      </c>
      <c r="AD250" t="s">
        <v>2782</v>
      </c>
      <c r="AE250" t="str">
        <f>PROPER(TRIM(AB250))</f>
        <v>Completed</v>
      </c>
      <c r="AS250" t="str">
        <f t="shared" si="5"/>
        <v/>
      </c>
    </row>
    <row r="251" spans="1:45">
      <c r="A251" t="s">
        <v>853</v>
      </c>
      <c r="B251" s="7">
        <v>45665</v>
      </c>
      <c r="C251" s="4">
        <v>45696</v>
      </c>
      <c r="D251">
        <f>C251-B251</f>
        <v>31</v>
      </c>
      <c r="E251" t="str">
        <f>TEXT(B251,"mmmm")</f>
        <v>January</v>
      </c>
      <c r="F251">
        <f>YEAR(B251)</f>
        <v>2025</v>
      </c>
      <c r="G251" t="s">
        <v>854</v>
      </c>
      <c r="H251" t="s">
        <v>36</v>
      </c>
      <c r="I251" t="s">
        <v>90</v>
      </c>
      <c r="J251" t="s">
        <v>25</v>
      </c>
      <c r="K251" t="s">
        <v>26</v>
      </c>
      <c r="L251" t="s">
        <v>27</v>
      </c>
      <c r="M251" t="s">
        <v>41</v>
      </c>
      <c r="N251" t="s">
        <v>57</v>
      </c>
      <c r="O251" t="s">
        <v>855</v>
      </c>
      <c r="P251" t="s">
        <v>50</v>
      </c>
      <c r="Q251">
        <v>4</v>
      </c>
      <c r="R251">
        <v>2790.29</v>
      </c>
      <c r="S251">
        <v>0.2</v>
      </c>
      <c r="T251" s="12">
        <f>S251</f>
        <v>0.2</v>
      </c>
      <c r="U251">
        <v>8928.93</v>
      </c>
      <c r="V251">
        <f>Q251*R251*(1-S251)</f>
        <v>8928.9279999999999</v>
      </c>
      <c r="W251">
        <v>5634.38</v>
      </c>
      <c r="X251">
        <v>3294.55</v>
      </c>
      <c r="Y251">
        <f>V251-W251</f>
        <v>3294.5479999999998</v>
      </c>
      <c r="Z251" s="12">
        <f>Y251/V251</f>
        <v>0.36897464062875185</v>
      </c>
      <c r="AA251" t="s">
        <v>32</v>
      </c>
      <c r="AB251" t="s">
        <v>33</v>
      </c>
      <c r="AC251" s="14" t="s">
        <v>2794</v>
      </c>
      <c r="AD251" t="s">
        <v>2782</v>
      </c>
      <c r="AE251" t="str">
        <f>PROPER(TRIM(AB251))</f>
        <v>Completed</v>
      </c>
      <c r="AS251" t="str">
        <f t="shared" si="5"/>
        <v/>
      </c>
    </row>
    <row r="252" spans="1:45">
      <c r="A252" t="s">
        <v>856</v>
      </c>
      <c r="B252" s="7">
        <v>45343</v>
      </c>
      <c r="C252" s="4">
        <v>45349</v>
      </c>
      <c r="D252">
        <f>C252-B252</f>
        <v>6</v>
      </c>
      <c r="E252" t="str">
        <f>TEXT(B252,"mmmm")</f>
        <v>February</v>
      </c>
      <c r="F252">
        <f>YEAR(B252)</f>
        <v>2024</v>
      </c>
      <c r="G252" t="s">
        <v>857</v>
      </c>
      <c r="H252" t="s">
        <v>53</v>
      </c>
      <c r="I252" t="s">
        <v>37</v>
      </c>
      <c r="J252" t="s">
        <v>38</v>
      </c>
      <c r="K252" t="s">
        <v>99</v>
      </c>
      <c r="L252" t="s">
        <v>100</v>
      </c>
      <c r="M252" t="s">
        <v>41</v>
      </c>
      <c r="N252" t="s">
        <v>57</v>
      </c>
      <c r="O252" t="s">
        <v>858</v>
      </c>
      <c r="P252" t="s">
        <v>59</v>
      </c>
      <c r="Q252">
        <v>5</v>
      </c>
      <c r="R252">
        <v>3373.86</v>
      </c>
      <c r="S252">
        <v>0.15</v>
      </c>
      <c r="T252" s="12">
        <f>S252</f>
        <v>0.15</v>
      </c>
      <c r="U252">
        <v>14338.9</v>
      </c>
      <c r="V252">
        <f>Q252*R252*(1-S252)</f>
        <v>14338.904999999999</v>
      </c>
      <c r="W252">
        <v>11897.65</v>
      </c>
      <c r="X252">
        <v>2441.25</v>
      </c>
      <c r="Y252">
        <f>V252-W252</f>
        <v>2441.2549999999992</v>
      </c>
      <c r="Z252" s="12">
        <f>Y252/V252</f>
        <v>0.17025393501107647</v>
      </c>
      <c r="AA252" t="s">
        <v>111</v>
      </c>
      <c r="AB252" t="s">
        <v>103</v>
      </c>
      <c r="AC252" s="14" t="s">
        <v>2794</v>
      </c>
      <c r="AD252" t="s">
        <v>2782</v>
      </c>
      <c r="AE252" t="str">
        <f>PROPER(TRIM(AB252))</f>
        <v>Returned</v>
      </c>
      <c r="AS252" t="str">
        <f t="shared" si="5"/>
        <v/>
      </c>
    </row>
    <row r="253" spans="1:45">
      <c r="A253" t="s">
        <v>859</v>
      </c>
      <c r="B253" s="7">
        <v>45753</v>
      </c>
      <c r="C253" s="4">
        <v>45934</v>
      </c>
      <c r="D253">
        <f>C253-B253</f>
        <v>181</v>
      </c>
      <c r="E253" t="str">
        <f>TEXT(B253,"mmmm")</f>
        <v>April</v>
      </c>
      <c r="F253">
        <f>YEAR(B253)</f>
        <v>2025</v>
      </c>
      <c r="G253" t="s">
        <v>860</v>
      </c>
      <c r="H253" t="s">
        <v>62</v>
      </c>
      <c r="I253" t="s">
        <v>90</v>
      </c>
      <c r="J253" t="s">
        <v>63</v>
      </c>
      <c r="K253" t="s">
        <v>180</v>
      </c>
      <c r="L253" t="s">
        <v>181</v>
      </c>
      <c r="M253" t="s">
        <v>41</v>
      </c>
      <c r="N253" t="s">
        <v>42</v>
      </c>
      <c r="O253" t="s">
        <v>861</v>
      </c>
      <c r="P253" t="s">
        <v>31</v>
      </c>
      <c r="Q253">
        <v>6</v>
      </c>
      <c r="R253">
        <v>1022.16</v>
      </c>
      <c r="S253">
        <v>0</v>
      </c>
      <c r="T253" s="12">
        <f>S253</f>
        <v>0</v>
      </c>
      <c r="U253">
        <v>6132.96</v>
      </c>
      <c r="V253">
        <f>Q253*R253*(1-S253)</f>
        <v>6132.96</v>
      </c>
      <c r="W253">
        <v>4881.1000000000004</v>
      </c>
      <c r="X253">
        <v>1251.8599999999999</v>
      </c>
      <c r="Y253">
        <f>V253-W253</f>
        <v>1251.8599999999997</v>
      </c>
      <c r="Z253" s="12">
        <f>Y253/V253</f>
        <v>0.20412003339333692</v>
      </c>
      <c r="AA253" t="s">
        <v>32</v>
      </c>
      <c r="AB253" t="s">
        <v>33</v>
      </c>
      <c r="AC253" s="14" t="s">
        <v>2794</v>
      </c>
      <c r="AD253" t="s">
        <v>2782</v>
      </c>
      <c r="AE253" t="str">
        <f>PROPER(TRIM(AB253))</f>
        <v>Completed</v>
      </c>
      <c r="AS253" t="str">
        <f t="shared" si="5"/>
        <v/>
      </c>
    </row>
    <row r="254" spans="1:45">
      <c r="A254" t="s">
        <v>862</v>
      </c>
      <c r="B254" s="7">
        <v>45833</v>
      </c>
      <c r="C254" s="4">
        <v>45836</v>
      </c>
      <c r="D254">
        <f>C254-B254</f>
        <v>3</v>
      </c>
      <c r="E254" t="str">
        <f>TEXT(B254,"mmmm")</f>
        <v>June</v>
      </c>
      <c r="F254">
        <f>YEAR(B254)</f>
        <v>2025</v>
      </c>
      <c r="G254" t="s">
        <v>863</v>
      </c>
      <c r="H254" t="s">
        <v>53</v>
      </c>
      <c r="I254" t="s">
        <v>90</v>
      </c>
      <c r="J254" t="s">
        <v>25</v>
      </c>
      <c r="K254" t="s">
        <v>236</v>
      </c>
      <c r="L254" t="s">
        <v>237</v>
      </c>
      <c r="M254" t="s">
        <v>28</v>
      </c>
      <c r="N254" t="s">
        <v>124</v>
      </c>
      <c r="O254" t="s">
        <v>864</v>
      </c>
      <c r="P254" t="s">
        <v>50</v>
      </c>
      <c r="Q254">
        <v>2</v>
      </c>
      <c r="R254">
        <v>1455.92</v>
      </c>
      <c r="S254">
        <v>0.2</v>
      </c>
      <c r="T254" s="12">
        <f>S254</f>
        <v>0.2</v>
      </c>
      <c r="U254">
        <v>2329.4699999999998</v>
      </c>
      <c r="V254">
        <f>Q254*R254*(1-S254)</f>
        <v>2329.4720000000002</v>
      </c>
      <c r="W254">
        <v>1603.62</v>
      </c>
      <c r="X254">
        <v>725.85</v>
      </c>
      <c r="Y254">
        <f>V254-W254</f>
        <v>725.85200000000032</v>
      </c>
      <c r="Z254" s="12">
        <f>Y254/V254</f>
        <v>0.31159507390515973</v>
      </c>
      <c r="AA254" t="s">
        <v>111</v>
      </c>
      <c r="AB254" t="s">
        <v>103</v>
      </c>
      <c r="AC254" s="14" t="s">
        <v>2794</v>
      </c>
      <c r="AD254" t="s">
        <v>2782</v>
      </c>
      <c r="AE254" t="str">
        <f>PROPER(TRIM(AB254))</f>
        <v>Returned</v>
      </c>
      <c r="AS254" t="str">
        <f t="shared" si="5"/>
        <v/>
      </c>
    </row>
    <row r="255" spans="1:45">
      <c r="A255" t="s">
        <v>865</v>
      </c>
      <c r="B255" s="7">
        <v>45547</v>
      </c>
      <c r="C255" s="4">
        <v>45548</v>
      </c>
      <c r="D255">
        <f>C255-B255</f>
        <v>1</v>
      </c>
      <c r="E255" t="str">
        <f>TEXT(B255,"mmmm")</f>
        <v>September</v>
      </c>
      <c r="F255">
        <f>YEAR(B255)</f>
        <v>2024</v>
      </c>
      <c r="G255" t="s">
        <v>866</v>
      </c>
      <c r="H255" t="s">
        <v>114</v>
      </c>
      <c r="I255" t="s">
        <v>37</v>
      </c>
      <c r="J255" t="s">
        <v>25</v>
      </c>
      <c r="K255" t="s">
        <v>26</v>
      </c>
      <c r="L255" t="s">
        <v>27</v>
      </c>
      <c r="M255" t="s">
        <v>74</v>
      </c>
      <c r="N255" t="s">
        <v>171</v>
      </c>
      <c r="O255" t="s">
        <v>867</v>
      </c>
      <c r="P255" t="s">
        <v>44</v>
      </c>
      <c r="Q255">
        <v>6</v>
      </c>
      <c r="R255">
        <v>832.79</v>
      </c>
      <c r="S255">
        <v>0.05</v>
      </c>
      <c r="T255" s="12">
        <f>S255</f>
        <v>0.05</v>
      </c>
      <c r="U255">
        <v>4746.8999999999996</v>
      </c>
      <c r="V255">
        <f>Q255*R255*(1-S255)</f>
        <v>4746.9029999999993</v>
      </c>
      <c r="W255">
        <v>2825.38</v>
      </c>
      <c r="X255">
        <v>1472.89</v>
      </c>
      <c r="Y255">
        <f>V255-W255</f>
        <v>1921.5229999999992</v>
      </c>
      <c r="Z255" s="12">
        <f>Y255/V255</f>
        <v>0.40479508428969363</v>
      </c>
      <c r="AA255" t="s">
        <v>102</v>
      </c>
      <c r="AB255" t="s">
        <v>68</v>
      </c>
      <c r="AC255" s="14" t="s">
        <v>2794</v>
      </c>
      <c r="AD255" t="s">
        <v>2782</v>
      </c>
      <c r="AE255" t="str">
        <f>PROPER(TRIM(AB255))</f>
        <v>Cancelled</v>
      </c>
      <c r="AS255" t="str">
        <f t="shared" si="5"/>
        <v/>
      </c>
    </row>
    <row r="256" spans="1:45">
      <c r="A256" t="s">
        <v>868</v>
      </c>
      <c r="B256" s="7">
        <v>45658</v>
      </c>
      <c r="C256" s="4">
        <v>45660</v>
      </c>
      <c r="D256">
        <f>C256-B256</f>
        <v>2</v>
      </c>
      <c r="E256" t="str">
        <f>TEXT(B256,"mmmm")</f>
        <v>January</v>
      </c>
      <c r="F256">
        <f>YEAR(B256)</f>
        <v>2025</v>
      </c>
      <c r="G256" t="s">
        <v>869</v>
      </c>
      <c r="H256" t="s">
        <v>62</v>
      </c>
      <c r="I256" t="s">
        <v>24</v>
      </c>
      <c r="J256" t="s">
        <v>63</v>
      </c>
      <c r="K256" t="s">
        <v>72</v>
      </c>
      <c r="L256" t="s">
        <v>73</v>
      </c>
      <c r="M256" t="s">
        <v>74</v>
      </c>
      <c r="N256" t="s">
        <v>75</v>
      </c>
      <c r="O256" t="s">
        <v>870</v>
      </c>
      <c r="P256" t="s">
        <v>44</v>
      </c>
      <c r="Q256">
        <v>7</v>
      </c>
      <c r="R256">
        <v>1000.55</v>
      </c>
      <c r="S256">
        <v>0.2</v>
      </c>
      <c r="T256" s="12">
        <f>S256</f>
        <v>0.2</v>
      </c>
      <c r="U256">
        <v>5603.08</v>
      </c>
      <c r="V256">
        <f>Q256*R256*(1-S256)</f>
        <v>5603.08</v>
      </c>
      <c r="W256">
        <v>3132.52</v>
      </c>
      <c r="X256">
        <v>2470.56</v>
      </c>
      <c r="Y256">
        <f>V256-W256</f>
        <v>2470.56</v>
      </c>
      <c r="Z256" s="12">
        <f>Y256/V256</f>
        <v>0.44092891766671188</v>
      </c>
      <c r="AA256" t="s">
        <v>32</v>
      </c>
      <c r="AB256" t="s">
        <v>103</v>
      </c>
      <c r="AC256" s="14" t="s">
        <v>2794</v>
      </c>
      <c r="AD256" t="s">
        <v>2782</v>
      </c>
      <c r="AE256" t="str">
        <f>PROPER(TRIM(AB256))</f>
        <v>Returned</v>
      </c>
      <c r="AS256" t="str">
        <f t="shared" si="5"/>
        <v/>
      </c>
    </row>
    <row r="257" spans="1:45">
      <c r="A257" t="s">
        <v>871</v>
      </c>
      <c r="B257" s="7">
        <v>45692</v>
      </c>
      <c r="C257" s="4">
        <v>45932</v>
      </c>
      <c r="D257">
        <f>C257-B257</f>
        <v>240</v>
      </c>
      <c r="E257" t="str">
        <f>TEXT(B257,"mmmm")</f>
        <v>February</v>
      </c>
      <c r="F257">
        <f>YEAR(B257)</f>
        <v>2025</v>
      </c>
      <c r="G257" t="s">
        <v>872</v>
      </c>
      <c r="H257" t="s">
        <v>47</v>
      </c>
      <c r="I257" t="s">
        <v>90</v>
      </c>
      <c r="J257" t="s">
        <v>63</v>
      </c>
      <c r="K257" t="s">
        <v>64</v>
      </c>
      <c r="L257" t="s">
        <v>65</v>
      </c>
      <c r="M257" t="s">
        <v>74</v>
      </c>
      <c r="N257" t="s">
        <v>171</v>
      </c>
      <c r="O257" t="s">
        <v>873</v>
      </c>
      <c r="P257" t="s">
        <v>50</v>
      </c>
      <c r="Q257">
        <v>7</v>
      </c>
      <c r="R257">
        <v>1830</v>
      </c>
      <c r="S257">
        <v>0</v>
      </c>
      <c r="T257" s="12">
        <f>S257</f>
        <v>0</v>
      </c>
      <c r="U257">
        <v>12810</v>
      </c>
      <c r="V257">
        <f>Q257*R257*(1-S257)</f>
        <v>12810</v>
      </c>
      <c r="W257">
        <v>9334.1200000000008</v>
      </c>
      <c r="X257">
        <v>3475.88</v>
      </c>
      <c r="Y257">
        <f>V257-W257</f>
        <v>3475.8799999999992</v>
      </c>
      <c r="Z257" s="12">
        <f>Y257/V257</f>
        <v>0.27134113973458229</v>
      </c>
      <c r="AA257" t="s">
        <v>32</v>
      </c>
      <c r="AB257" t="s">
        <v>33</v>
      </c>
      <c r="AC257" s="14" t="s">
        <v>2794</v>
      </c>
      <c r="AD257" t="s">
        <v>2782</v>
      </c>
      <c r="AE257" t="str">
        <f>PROPER(TRIM(AB257))</f>
        <v>Completed</v>
      </c>
      <c r="AS257" t="str">
        <f t="shared" si="5"/>
        <v/>
      </c>
    </row>
    <row r="258" spans="1:45">
      <c r="A258" t="s">
        <v>874</v>
      </c>
      <c r="B258" s="7">
        <v>45601</v>
      </c>
      <c r="C258" s="4">
        <v>45599</v>
      </c>
      <c r="D258" s="10">
        <f>C258-B258</f>
        <v>-2</v>
      </c>
      <c r="E258" t="str">
        <f>TEXT(B258,"mmmm")</f>
        <v>November</v>
      </c>
      <c r="F258">
        <f>YEAR(B258)</f>
        <v>2024</v>
      </c>
      <c r="G258" t="s">
        <v>875</v>
      </c>
      <c r="H258" t="s">
        <v>62</v>
      </c>
      <c r="I258" t="s">
        <v>24</v>
      </c>
      <c r="J258" t="s">
        <v>38</v>
      </c>
      <c r="K258" t="s">
        <v>99</v>
      </c>
      <c r="L258" t="s">
        <v>100</v>
      </c>
      <c r="M258" t="s">
        <v>41</v>
      </c>
      <c r="N258" t="s">
        <v>42</v>
      </c>
      <c r="O258" t="s">
        <v>876</v>
      </c>
      <c r="P258" t="s">
        <v>50</v>
      </c>
      <c r="Q258">
        <v>9</v>
      </c>
      <c r="R258">
        <v>2260.61</v>
      </c>
      <c r="S258">
        <v>0.05</v>
      </c>
      <c r="T258" s="12">
        <f>S258</f>
        <v>0.05</v>
      </c>
      <c r="U258">
        <v>19328.22</v>
      </c>
      <c r="V258">
        <f>Q258*R258*(1-S258)</f>
        <v>19328.215500000002</v>
      </c>
      <c r="W258">
        <v>12039.5</v>
      </c>
      <c r="X258">
        <v>7288.72</v>
      </c>
      <c r="Y258">
        <f>V258-W258</f>
        <v>7288.7155000000021</v>
      </c>
      <c r="Z258" s="12">
        <f>Y258/V258</f>
        <v>0.3771023507058891</v>
      </c>
      <c r="AA258" t="s">
        <v>32</v>
      </c>
      <c r="AB258" t="s">
        <v>33</v>
      </c>
      <c r="AC258" s="10" t="s">
        <v>2792</v>
      </c>
      <c r="AD258" t="s">
        <v>2782</v>
      </c>
      <c r="AE258" t="str">
        <f>PROPER(TRIM(AB258))</f>
        <v>Completed</v>
      </c>
      <c r="AS258" t="str">
        <f t="shared" si="5"/>
        <v/>
      </c>
    </row>
    <row r="259" spans="1:45">
      <c r="A259" t="s">
        <v>877</v>
      </c>
      <c r="B259" s="7">
        <v>45878</v>
      </c>
      <c r="C259" s="4">
        <v>45881</v>
      </c>
      <c r="D259">
        <f>C259-B259</f>
        <v>3</v>
      </c>
      <c r="E259" t="str">
        <f>TEXT(B259,"mmmm")</f>
        <v>August</v>
      </c>
      <c r="F259">
        <f>YEAR(B259)</f>
        <v>2025</v>
      </c>
      <c r="G259" t="s">
        <v>878</v>
      </c>
      <c r="H259" t="s">
        <v>162</v>
      </c>
      <c r="I259" t="s">
        <v>90</v>
      </c>
      <c r="J259" t="s">
        <v>54</v>
      </c>
      <c r="K259" t="s">
        <v>175</v>
      </c>
      <c r="L259" t="s">
        <v>176</v>
      </c>
      <c r="M259" t="s">
        <v>74</v>
      </c>
      <c r="N259" t="s">
        <v>75</v>
      </c>
      <c r="O259" t="s">
        <v>879</v>
      </c>
      <c r="P259" t="s">
        <v>31</v>
      </c>
      <c r="Q259">
        <v>2</v>
      </c>
      <c r="R259">
        <v>3237.27</v>
      </c>
      <c r="S259">
        <v>0</v>
      </c>
      <c r="T259" s="12">
        <f>S259</f>
        <v>0</v>
      </c>
      <c r="U259">
        <v>6474.54</v>
      </c>
      <c r="V259">
        <f>Q259*R259*(1-S259)</f>
        <v>6474.54</v>
      </c>
      <c r="W259">
        <v>5095.91</v>
      </c>
      <c r="X259">
        <v>1378.63</v>
      </c>
      <c r="Y259">
        <f>V259-W259</f>
        <v>1378.63</v>
      </c>
      <c r="Z259" s="12">
        <f>Y259/V259</f>
        <v>0.21293095725719513</v>
      </c>
      <c r="AA259" t="s">
        <v>32</v>
      </c>
      <c r="AB259" t="s">
        <v>68</v>
      </c>
      <c r="AC259" s="14" t="s">
        <v>2794</v>
      </c>
      <c r="AD259" t="s">
        <v>2782</v>
      </c>
      <c r="AE259" t="str">
        <f>PROPER(TRIM(AB259))</f>
        <v>Cancelled</v>
      </c>
      <c r="AS259" t="str">
        <f t="shared" ref="AS259:AS322" si="6">PROPER(TRIM(AD259))</f>
        <v/>
      </c>
    </row>
    <row r="260" spans="1:45">
      <c r="A260" t="s">
        <v>880</v>
      </c>
      <c r="B260" s="7">
        <v>45656</v>
      </c>
      <c r="C260" s="4">
        <v>45661</v>
      </c>
      <c r="D260">
        <f>C260-B260</f>
        <v>5</v>
      </c>
      <c r="E260" t="str">
        <f>TEXT(B260,"mmmm")</f>
        <v>December</v>
      </c>
      <c r="F260">
        <f>YEAR(B260)</f>
        <v>2024</v>
      </c>
      <c r="G260" t="s">
        <v>881</v>
      </c>
      <c r="H260" t="s">
        <v>132</v>
      </c>
      <c r="I260" t="s">
        <v>90</v>
      </c>
      <c r="J260" t="s">
        <v>54</v>
      </c>
      <c r="K260" t="s">
        <v>247</v>
      </c>
      <c r="L260" t="s">
        <v>248</v>
      </c>
      <c r="M260" t="s">
        <v>41</v>
      </c>
      <c r="N260" t="s">
        <v>42</v>
      </c>
      <c r="O260" t="s">
        <v>882</v>
      </c>
      <c r="P260" t="s">
        <v>44</v>
      </c>
      <c r="Q260">
        <v>2</v>
      </c>
      <c r="R260">
        <v>3720.07</v>
      </c>
      <c r="S260">
        <v>0.25</v>
      </c>
      <c r="T260" s="12">
        <f>S260</f>
        <v>0.25</v>
      </c>
      <c r="U260">
        <v>5580.11</v>
      </c>
      <c r="V260">
        <f>Q260*R260*(1-S260)</f>
        <v>5580.1050000000005</v>
      </c>
      <c r="W260">
        <v>4307.01</v>
      </c>
      <c r="X260">
        <v>1273.0999999999999</v>
      </c>
      <c r="Y260">
        <f>V260-W260</f>
        <v>1273.0950000000003</v>
      </c>
      <c r="Z260" s="12">
        <f>Y260/V260</f>
        <v>0.22814893268137429</v>
      </c>
      <c r="AA260" t="s">
        <v>32</v>
      </c>
      <c r="AB260" t="s">
        <v>33</v>
      </c>
      <c r="AC260" s="14" t="s">
        <v>2794</v>
      </c>
      <c r="AD260" t="s">
        <v>2782</v>
      </c>
      <c r="AE260" t="str">
        <f>PROPER(TRIM(AB260))</f>
        <v>Completed</v>
      </c>
      <c r="AS260" t="str">
        <f t="shared" si="6"/>
        <v/>
      </c>
    </row>
    <row r="261" spans="1:45">
      <c r="A261" t="s">
        <v>883</v>
      </c>
      <c r="B261" s="7">
        <v>45464</v>
      </c>
      <c r="C261" s="4">
        <v>45472</v>
      </c>
      <c r="D261">
        <f>C261-B261</f>
        <v>8</v>
      </c>
      <c r="E261" t="str">
        <f>TEXT(B261,"mmmm")</f>
        <v>June</v>
      </c>
      <c r="F261">
        <f>YEAR(B261)</f>
        <v>2024</v>
      </c>
      <c r="G261" t="s">
        <v>884</v>
      </c>
      <c r="H261" t="s">
        <v>79</v>
      </c>
      <c r="I261" t="s">
        <v>24</v>
      </c>
      <c r="J261" t="s">
        <v>54</v>
      </c>
      <c r="K261" t="s">
        <v>247</v>
      </c>
      <c r="L261" t="s">
        <v>248</v>
      </c>
      <c r="M261" t="s">
        <v>74</v>
      </c>
      <c r="N261" t="s">
        <v>274</v>
      </c>
      <c r="O261" t="s">
        <v>885</v>
      </c>
      <c r="P261" t="s">
        <v>59</v>
      </c>
      <c r="Q261">
        <v>8</v>
      </c>
      <c r="R261">
        <v>2853.92</v>
      </c>
      <c r="S261">
        <v>0.2</v>
      </c>
      <c r="T261" s="12">
        <f>S261</f>
        <v>0.2</v>
      </c>
      <c r="U261">
        <v>18265.09</v>
      </c>
      <c r="V261">
        <f>Q261*R261*(1-S261)</f>
        <v>18265.088</v>
      </c>
      <c r="W261">
        <v>10437.14</v>
      </c>
      <c r="X261">
        <v>7827.95</v>
      </c>
      <c r="Y261">
        <f>V261-W261</f>
        <v>7827.9480000000003</v>
      </c>
      <c r="Z261" s="12">
        <f>Y261/V261</f>
        <v>0.42857433810338064</v>
      </c>
      <c r="AA261" t="s">
        <v>32</v>
      </c>
      <c r="AB261" t="s">
        <v>33</v>
      </c>
      <c r="AC261" s="14" t="s">
        <v>2794</v>
      </c>
      <c r="AD261" t="s">
        <v>2782</v>
      </c>
      <c r="AE261" t="str">
        <f>PROPER(TRIM(AB261))</f>
        <v>Completed</v>
      </c>
      <c r="AS261" t="str">
        <f t="shared" si="6"/>
        <v/>
      </c>
    </row>
    <row r="262" spans="1:45">
      <c r="A262" t="s">
        <v>886</v>
      </c>
      <c r="B262" s="7">
        <v>45923</v>
      </c>
      <c r="C262" s="4">
        <v>45927</v>
      </c>
      <c r="D262">
        <f>C262-B262</f>
        <v>4</v>
      </c>
      <c r="E262" t="str">
        <f>TEXT(B262,"mmmm")</f>
        <v>September</v>
      </c>
      <c r="F262">
        <f>YEAR(B262)</f>
        <v>2025</v>
      </c>
      <c r="G262" t="s">
        <v>887</v>
      </c>
      <c r="H262" t="s">
        <v>89</v>
      </c>
      <c r="I262" t="s">
        <v>90</v>
      </c>
      <c r="J262" t="s">
        <v>38</v>
      </c>
      <c r="K262" t="s">
        <v>99</v>
      </c>
      <c r="L262" t="s">
        <v>100</v>
      </c>
      <c r="M262" t="s">
        <v>28</v>
      </c>
      <c r="N262" t="s">
        <v>153</v>
      </c>
      <c r="O262" t="s">
        <v>888</v>
      </c>
      <c r="P262" t="s">
        <v>44</v>
      </c>
      <c r="Q262">
        <v>7</v>
      </c>
      <c r="R262">
        <v>2897.12</v>
      </c>
      <c r="S262">
        <v>0.25</v>
      </c>
      <c r="T262" s="12">
        <f>S262</f>
        <v>0.25</v>
      </c>
      <c r="U262">
        <v>15209.88</v>
      </c>
      <c r="V262">
        <f>Q262*R262*(1-S262)</f>
        <v>15209.880000000001</v>
      </c>
      <c r="W262">
        <v>10891.15</v>
      </c>
      <c r="X262">
        <v>4318.7299999999996</v>
      </c>
      <c r="Y262">
        <f>V262-W262</f>
        <v>4318.7300000000014</v>
      </c>
      <c r="Z262" s="12">
        <f>Y262/V262</f>
        <v>0.28394241111698454</v>
      </c>
      <c r="AA262" t="s">
        <v>155</v>
      </c>
      <c r="AB262" t="s">
        <v>103</v>
      </c>
      <c r="AC262" s="14" t="s">
        <v>2794</v>
      </c>
      <c r="AD262" t="s">
        <v>2782</v>
      </c>
      <c r="AE262" t="str">
        <f>PROPER(TRIM(AB262))</f>
        <v>Returned</v>
      </c>
      <c r="AS262" t="str">
        <f t="shared" si="6"/>
        <v/>
      </c>
    </row>
    <row r="263" spans="1:45">
      <c r="A263" t="s">
        <v>889</v>
      </c>
      <c r="B263" s="7">
        <v>45826</v>
      </c>
      <c r="C263" s="4">
        <v>45832</v>
      </c>
      <c r="D263">
        <f>C263-B263</f>
        <v>6</v>
      </c>
      <c r="E263" t="str">
        <f>TEXT(B263,"mmmm")</f>
        <v>June</v>
      </c>
      <c r="F263">
        <f>YEAR(B263)</f>
        <v>2025</v>
      </c>
      <c r="G263" t="s">
        <v>890</v>
      </c>
      <c r="H263" t="s">
        <v>132</v>
      </c>
      <c r="I263" t="s">
        <v>90</v>
      </c>
      <c r="J263" t="s">
        <v>25</v>
      </c>
      <c r="K263" t="s">
        <v>26</v>
      </c>
      <c r="L263" t="s">
        <v>27</v>
      </c>
      <c r="M263" t="s">
        <v>28</v>
      </c>
      <c r="N263" t="s">
        <v>91</v>
      </c>
      <c r="O263" t="s">
        <v>891</v>
      </c>
      <c r="P263" t="s">
        <v>59</v>
      </c>
      <c r="Q263">
        <v>3</v>
      </c>
      <c r="R263">
        <v>686.74</v>
      </c>
      <c r="S263">
        <v>0.2</v>
      </c>
      <c r="T263" s="12">
        <f>S263</f>
        <v>0.2</v>
      </c>
      <c r="U263">
        <v>1648.18</v>
      </c>
      <c r="V263">
        <f>Q263*R263*(1-S263)</f>
        <v>1648.1760000000004</v>
      </c>
      <c r="W263">
        <v>987.91</v>
      </c>
      <c r="X263">
        <v>660.27</v>
      </c>
      <c r="Y263">
        <f>V263-W263</f>
        <v>660.26600000000042</v>
      </c>
      <c r="Z263" s="12">
        <f>Y263/V263</f>
        <v>0.40060406170214846</v>
      </c>
      <c r="AA263" t="s">
        <v>155</v>
      </c>
      <c r="AB263" t="s">
        <v>68</v>
      </c>
      <c r="AC263" s="14" t="s">
        <v>2794</v>
      </c>
      <c r="AD263" t="s">
        <v>2782</v>
      </c>
      <c r="AE263" t="str">
        <f>PROPER(TRIM(AB263))</f>
        <v>Cancelled</v>
      </c>
      <c r="AS263" t="str">
        <f t="shared" si="6"/>
        <v/>
      </c>
    </row>
    <row r="264" spans="1:45">
      <c r="A264" t="s">
        <v>892</v>
      </c>
      <c r="B264" s="7">
        <v>45803</v>
      </c>
      <c r="C264" s="4">
        <v>45809</v>
      </c>
      <c r="D264">
        <f>C264-B264</f>
        <v>6</v>
      </c>
      <c r="E264" t="str">
        <f>TEXT(B264,"mmmm")</f>
        <v>May</v>
      </c>
      <c r="F264">
        <f>YEAR(B264)</f>
        <v>2025</v>
      </c>
      <c r="G264" t="s">
        <v>628</v>
      </c>
      <c r="H264" t="s">
        <v>53</v>
      </c>
      <c r="I264" t="s">
        <v>37</v>
      </c>
      <c r="J264" t="s">
        <v>25</v>
      </c>
      <c r="K264" t="s">
        <v>350</v>
      </c>
      <c r="L264" t="s">
        <v>351</v>
      </c>
      <c r="M264" t="s">
        <v>74</v>
      </c>
      <c r="N264" t="s">
        <v>171</v>
      </c>
      <c r="O264" t="s">
        <v>893</v>
      </c>
      <c r="P264" t="s">
        <v>44</v>
      </c>
      <c r="Q264">
        <v>4</v>
      </c>
      <c r="R264">
        <v>3349.86</v>
      </c>
      <c r="S264">
        <v>0</v>
      </c>
      <c r="T264" s="12">
        <f>S264</f>
        <v>0</v>
      </c>
      <c r="U264">
        <v>13399.44</v>
      </c>
      <c r="V264">
        <f>Q264*R264*(1-S264)</f>
        <v>13399.44</v>
      </c>
      <c r="W264">
        <v>8581.35</v>
      </c>
      <c r="X264">
        <v>4818.09</v>
      </c>
      <c r="Y264">
        <f>V264-W264</f>
        <v>4818.09</v>
      </c>
      <c r="Z264" s="12">
        <f>Y264/V264</f>
        <v>0.3595739821962709</v>
      </c>
      <c r="AA264" t="s">
        <v>111</v>
      </c>
      <c r="AB264" t="s">
        <v>103</v>
      </c>
      <c r="AC264" s="14" t="s">
        <v>2794</v>
      </c>
      <c r="AD264" t="s">
        <v>2782</v>
      </c>
      <c r="AE264" t="str">
        <f>PROPER(TRIM(AB264))</f>
        <v>Returned</v>
      </c>
      <c r="AS264" t="str">
        <f t="shared" si="6"/>
        <v/>
      </c>
    </row>
    <row r="265" spans="1:45">
      <c r="A265" t="s">
        <v>894</v>
      </c>
      <c r="B265" s="7">
        <v>45875</v>
      </c>
      <c r="C265" s="4">
        <v>45879</v>
      </c>
      <c r="D265">
        <f>C265-B265</f>
        <v>4</v>
      </c>
      <c r="E265" t="str">
        <f>TEXT(B265,"mmmm")</f>
        <v>August</v>
      </c>
      <c r="F265">
        <f>YEAR(B265)</f>
        <v>2025</v>
      </c>
      <c r="G265" t="s">
        <v>895</v>
      </c>
      <c r="H265" t="s">
        <v>141</v>
      </c>
      <c r="I265" t="s">
        <v>37</v>
      </c>
      <c r="J265" t="s">
        <v>25</v>
      </c>
      <c r="K265" t="s">
        <v>350</v>
      </c>
      <c r="L265" t="s">
        <v>351</v>
      </c>
      <c r="M265" t="s">
        <v>28</v>
      </c>
      <c r="N265" t="s">
        <v>153</v>
      </c>
      <c r="O265" t="s">
        <v>896</v>
      </c>
      <c r="P265" t="s">
        <v>31</v>
      </c>
      <c r="Q265">
        <v>9</v>
      </c>
      <c r="R265">
        <v>4042.45</v>
      </c>
      <c r="S265">
        <v>0.1</v>
      </c>
      <c r="T265" s="12">
        <f>S265</f>
        <v>0.1</v>
      </c>
      <c r="U265">
        <v>32743.84</v>
      </c>
      <c r="V265">
        <f>Q265*R265*(1-S265)</f>
        <v>32743.844999999998</v>
      </c>
      <c r="W265">
        <v>22452.05</v>
      </c>
      <c r="X265">
        <v>10291.790000000001</v>
      </c>
      <c r="Y265">
        <f>V265-W265</f>
        <v>10291.794999999998</v>
      </c>
      <c r="Z265" s="12">
        <f>Y265/V265</f>
        <v>0.314312353970647</v>
      </c>
      <c r="AA265" t="s">
        <v>111</v>
      </c>
      <c r="AB265" t="s">
        <v>103</v>
      </c>
      <c r="AC265" s="14" t="s">
        <v>2794</v>
      </c>
      <c r="AD265" t="s">
        <v>2782</v>
      </c>
      <c r="AE265" t="str">
        <f>PROPER(TRIM(AB265))</f>
        <v>Returned</v>
      </c>
      <c r="AS265" t="str">
        <f t="shared" si="6"/>
        <v/>
      </c>
    </row>
    <row r="266" spans="1:45">
      <c r="A266" t="s">
        <v>897</v>
      </c>
      <c r="B266" s="7">
        <v>45428</v>
      </c>
      <c r="C266" s="4">
        <v>45433</v>
      </c>
      <c r="D266">
        <f>C266-B266</f>
        <v>5</v>
      </c>
      <c r="E266" t="str">
        <f>TEXT(B266,"mmmm")</f>
        <v>May</v>
      </c>
      <c r="F266">
        <f>YEAR(B266)</f>
        <v>2024</v>
      </c>
      <c r="G266" t="s">
        <v>898</v>
      </c>
      <c r="H266" t="s">
        <v>162</v>
      </c>
      <c r="I266" t="s">
        <v>37</v>
      </c>
      <c r="J266" t="s">
        <v>38</v>
      </c>
      <c r="K266" t="s">
        <v>145</v>
      </c>
      <c r="L266" t="s">
        <v>146</v>
      </c>
      <c r="M266" t="s">
        <v>74</v>
      </c>
      <c r="N266" t="s">
        <v>80</v>
      </c>
      <c r="O266" t="s">
        <v>899</v>
      </c>
      <c r="P266" t="s">
        <v>59</v>
      </c>
      <c r="Q266">
        <v>4</v>
      </c>
      <c r="R266">
        <v>1503.07</v>
      </c>
      <c r="S266">
        <v>0</v>
      </c>
      <c r="T266" s="12">
        <f>S266</f>
        <v>0</v>
      </c>
      <c r="U266">
        <v>6012.28</v>
      </c>
      <c r="V266">
        <f>Q266*R266*(1-S266)</f>
        <v>6012.28</v>
      </c>
      <c r="W266">
        <v>3927.64</v>
      </c>
      <c r="X266">
        <v>2084.64</v>
      </c>
      <c r="Y266">
        <f>V266-W266</f>
        <v>2084.64</v>
      </c>
      <c r="Z266" s="12">
        <f>Y266/V266</f>
        <v>0.34673035853286938</v>
      </c>
      <c r="AA266" t="s">
        <v>32</v>
      </c>
      <c r="AB266" t="s">
        <v>33</v>
      </c>
      <c r="AC266" s="14" t="s">
        <v>2794</v>
      </c>
      <c r="AD266" t="s">
        <v>2782</v>
      </c>
      <c r="AE266" t="str">
        <f>PROPER(TRIM(AB266))</f>
        <v>Completed</v>
      </c>
      <c r="AS266" t="str">
        <f t="shared" si="6"/>
        <v/>
      </c>
    </row>
    <row r="267" spans="1:45">
      <c r="A267" t="s">
        <v>900</v>
      </c>
      <c r="B267" s="7">
        <v>45610</v>
      </c>
      <c r="C267" s="4">
        <v>45618</v>
      </c>
      <c r="D267">
        <f>C267-B267</f>
        <v>8</v>
      </c>
      <c r="E267" t="str">
        <f>TEXT(B267,"mmmm")</f>
        <v>November</v>
      </c>
      <c r="F267">
        <f>YEAR(B267)</f>
        <v>2024</v>
      </c>
      <c r="G267" t="s">
        <v>901</v>
      </c>
      <c r="H267" t="s">
        <v>114</v>
      </c>
      <c r="I267" t="s">
        <v>90</v>
      </c>
      <c r="J267" t="s">
        <v>38</v>
      </c>
      <c r="K267" t="s">
        <v>145</v>
      </c>
      <c r="L267" t="s">
        <v>146</v>
      </c>
      <c r="M267" t="s">
        <v>41</v>
      </c>
      <c r="N267" t="s">
        <v>158</v>
      </c>
      <c r="O267" t="s">
        <v>902</v>
      </c>
      <c r="P267" t="s">
        <v>44</v>
      </c>
      <c r="Q267">
        <v>1</v>
      </c>
      <c r="R267">
        <v>582.37</v>
      </c>
      <c r="S267">
        <v>0.15</v>
      </c>
      <c r="T267" s="12">
        <f>S267</f>
        <v>0.15</v>
      </c>
      <c r="U267">
        <v>495.01</v>
      </c>
      <c r="V267">
        <f>Q267*R267*(1-S267)</f>
        <v>495.0145</v>
      </c>
      <c r="W267">
        <v>285.13</v>
      </c>
      <c r="X267">
        <v>209.88</v>
      </c>
      <c r="Y267">
        <f>V267-W267</f>
        <v>209.8845</v>
      </c>
      <c r="Z267" s="12">
        <f>Y267/V267</f>
        <v>0.42399667080459258</v>
      </c>
      <c r="AA267" t="s">
        <v>102</v>
      </c>
      <c r="AB267" t="s">
        <v>68</v>
      </c>
      <c r="AC267" s="14" t="s">
        <v>2794</v>
      </c>
      <c r="AD267" t="s">
        <v>2782</v>
      </c>
      <c r="AE267" t="str">
        <f>PROPER(TRIM(AB267))</f>
        <v>Cancelled</v>
      </c>
      <c r="AS267" t="str">
        <f t="shared" si="6"/>
        <v/>
      </c>
    </row>
    <row r="268" spans="1:45">
      <c r="A268" t="s">
        <v>903</v>
      </c>
      <c r="B268" s="7">
        <v>45780</v>
      </c>
      <c r="C268" s="4">
        <v>45787</v>
      </c>
      <c r="D268">
        <f>C268-B268</f>
        <v>7</v>
      </c>
      <c r="E268" t="str">
        <f>TEXT(B268,"mmmm")</f>
        <v>May</v>
      </c>
      <c r="F268">
        <f>YEAR(B268)</f>
        <v>2025</v>
      </c>
      <c r="G268" t="s">
        <v>904</v>
      </c>
      <c r="H268" t="s">
        <v>79</v>
      </c>
      <c r="I268" t="s">
        <v>95</v>
      </c>
      <c r="J268" t="s">
        <v>63</v>
      </c>
      <c r="K268" t="s">
        <v>64</v>
      </c>
      <c r="L268" t="s">
        <v>65</v>
      </c>
      <c r="M268" t="s">
        <v>28</v>
      </c>
      <c r="N268" t="s">
        <v>124</v>
      </c>
      <c r="O268" t="s">
        <v>905</v>
      </c>
      <c r="P268" t="s">
        <v>31</v>
      </c>
      <c r="Q268">
        <v>3</v>
      </c>
      <c r="R268">
        <v>4339.24</v>
      </c>
      <c r="S268">
        <v>0</v>
      </c>
      <c r="T268" s="12">
        <f>S268</f>
        <v>0</v>
      </c>
      <c r="U268">
        <v>13017.72</v>
      </c>
      <c r="V268">
        <f>Q268*R268*(1-S268)</f>
        <v>13017.72</v>
      </c>
      <c r="W268">
        <v>10170.57</v>
      </c>
      <c r="X268">
        <v>2847.15</v>
      </c>
      <c r="Y268">
        <f>V268-W268</f>
        <v>2847.1499999999996</v>
      </c>
      <c r="Z268" s="12">
        <f>Y268/V268</f>
        <v>0.21871341525244051</v>
      </c>
      <c r="AA268" t="s">
        <v>32</v>
      </c>
      <c r="AB268" t="s">
        <v>33</v>
      </c>
      <c r="AC268" s="14" t="s">
        <v>2794</v>
      </c>
      <c r="AD268" t="s">
        <v>2782</v>
      </c>
      <c r="AE268" t="str">
        <f>PROPER(TRIM(AB268))</f>
        <v>Completed</v>
      </c>
      <c r="AS268" t="str">
        <f t="shared" si="6"/>
        <v/>
      </c>
    </row>
    <row r="269" spans="1:45">
      <c r="A269" t="s">
        <v>906</v>
      </c>
      <c r="B269" s="7">
        <v>45805</v>
      </c>
      <c r="C269" s="4">
        <v>45812</v>
      </c>
      <c r="D269">
        <f>C269-B269</f>
        <v>7</v>
      </c>
      <c r="E269" t="str">
        <f>TEXT(B269,"mmmm")</f>
        <v>May</v>
      </c>
      <c r="F269">
        <f>YEAR(B269)</f>
        <v>2025</v>
      </c>
      <c r="G269" t="s">
        <v>907</v>
      </c>
      <c r="H269" t="s">
        <v>162</v>
      </c>
      <c r="I269" t="s">
        <v>90</v>
      </c>
      <c r="J269" t="s">
        <v>38</v>
      </c>
      <c r="K269" t="s">
        <v>228</v>
      </c>
      <c r="L269" t="s">
        <v>229</v>
      </c>
      <c r="M269" t="s">
        <v>41</v>
      </c>
      <c r="N269" t="s">
        <v>57</v>
      </c>
      <c r="O269" t="s">
        <v>908</v>
      </c>
      <c r="P269" t="s">
        <v>50</v>
      </c>
      <c r="Q269">
        <v>4</v>
      </c>
      <c r="R269">
        <v>261.8</v>
      </c>
      <c r="S269">
        <v>0.25</v>
      </c>
      <c r="T269" s="12">
        <f>S269</f>
        <v>0.25</v>
      </c>
      <c r="U269">
        <v>785.4</v>
      </c>
      <c r="V269">
        <f>Q269*R269*(1-S269)</f>
        <v>785.40000000000009</v>
      </c>
      <c r="W269">
        <v>557.22</v>
      </c>
      <c r="X269">
        <v>228.18</v>
      </c>
      <c r="Y269">
        <f>V269-W269</f>
        <v>228.18000000000006</v>
      </c>
      <c r="Z269" s="12">
        <f>Y269/V269</f>
        <v>0.29052711993888469</v>
      </c>
      <c r="AA269" t="s">
        <v>32</v>
      </c>
      <c r="AB269" t="s">
        <v>33</v>
      </c>
      <c r="AC269" s="14" t="s">
        <v>2794</v>
      </c>
      <c r="AD269" t="s">
        <v>2782</v>
      </c>
      <c r="AE269" t="str">
        <f>PROPER(TRIM(AB269))</f>
        <v>Completed</v>
      </c>
      <c r="AS269" t="str">
        <f t="shared" si="6"/>
        <v/>
      </c>
    </row>
    <row r="270" spans="1:45">
      <c r="A270" t="s">
        <v>909</v>
      </c>
      <c r="B270" s="7">
        <v>45886</v>
      </c>
      <c r="C270" s="4">
        <v>45886</v>
      </c>
      <c r="D270">
        <f>C270-B270</f>
        <v>0</v>
      </c>
      <c r="E270" t="str">
        <f>TEXT(B270,"mmmm")</f>
        <v>August</v>
      </c>
      <c r="F270">
        <f>YEAR(B270)</f>
        <v>2025</v>
      </c>
      <c r="G270" t="s">
        <v>910</v>
      </c>
      <c r="H270" t="s">
        <v>128</v>
      </c>
      <c r="I270" t="s">
        <v>95</v>
      </c>
      <c r="J270" t="s">
        <v>25</v>
      </c>
      <c r="K270" t="s">
        <v>122</v>
      </c>
      <c r="L270" t="s">
        <v>123</v>
      </c>
      <c r="M270" t="s">
        <v>74</v>
      </c>
      <c r="N270" t="s">
        <v>75</v>
      </c>
      <c r="O270" t="s">
        <v>911</v>
      </c>
      <c r="P270" t="s">
        <v>50</v>
      </c>
      <c r="Q270">
        <v>7</v>
      </c>
      <c r="R270">
        <v>632.20000000000005</v>
      </c>
      <c r="S270">
        <v>0.25</v>
      </c>
      <c r="T270" s="12">
        <f>S270</f>
        <v>0.25</v>
      </c>
      <c r="U270">
        <v>3319.05</v>
      </c>
      <c r="V270">
        <f>Q270*R270*(1-S270)</f>
        <v>3319.05</v>
      </c>
      <c r="W270">
        <v>2124.6</v>
      </c>
      <c r="X270">
        <v>1194.45</v>
      </c>
      <c r="Y270">
        <f>V270-W270</f>
        <v>1194.4500000000003</v>
      </c>
      <c r="Z270" s="12">
        <f>Y270/V270</f>
        <v>0.35987707325891449</v>
      </c>
      <c r="AA270" t="s">
        <v>32</v>
      </c>
      <c r="AB270" t="s">
        <v>33</v>
      </c>
      <c r="AC270" s="14" t="s">
        <v>2794</v>
      </c>
      <c r="AD270" t="s">
        <v>2782</v>
      </c>
      <c r="AE270" t="str">
        <f>PROPER(TRIM(AB270))</f>
        <v>Completed</v>
      </c>
      <c r="AS270" t="str">
        <f t="shared" si="6"/>
        <v/>
      </c>
    </row>
    <row r="271" spans="1:45">
      <c r="A271" t="s">
        <v>912</v>
      </c>
      <c r="B271" s="7">
        <v>45932</v>
      </c>
      <c r="C271" s="4">
        <v>45993</v>
      </c>
      <c r="D271">
        <f>C271-B271</f>
        <v>61</v>
      </c>
      <c r="E271" t="str">
        <f>TEXT(B271,"mmmm")</f>
        <v>October</v>
      </c>
      <c r="F271">
        <f>YEAR(B271)</f>
        <v>2025</v>
      </c>
      <c r="G271" t="s">
        <v>913</v>
      </c>
      <c r="H271" t="s">
        <v>118</v>
      </c>
      <c r="I271" t="s">
        <v>37</v>
      </c>
      <c r="J271" t="s">
        <v>63</v>
      </c>
      <c r="K271" t="s">
        <v>26</v>
      </c>
      <c r="L271" t="s">
        <v>109</v>
      </c>
      <c r="M271" t="s">
        <v>41</v>
      </c>
      <c r="N271" t="s">
        <v>42</v>
      </c>
      <c r="O271" t="s">
        <v>914</v>
      </c>
      <c r="P271" t="s">
        <v>44</v>
      </c>
      <c r="Q271">
        <v>1</v>
      </c>
      <c r="R271">
        <v>1925.86</v>
      </c>
      <c r="S271">
        <v>0</v>
      </c>
      <c r="T271" s="12">
        <f>S271</f>
        <v>0</v>
      </c>
      <c r="U271">
        <v>1925.86</v>
      </c>
      <c r="V271">
        <f>Q271*R271*(1-S271)</f>
        <v>1925.86</v>
      </c>
      <c r="W271">
        <v>1321.89</v>
      </c>
      <c r="X271">
        <v>603.97</v>
      </c>
      <c r="Y271">
        <f>V271-W271</f>
        <v>603.9699999999998</v>
      </c>
      <c r="Z271" s="12">
        <f>Y271/V271</f>
        <v>0.31361054282242729</v>
      </c>
      <c r="AA271" t="s">
        <v>32</v>
      </c>
      <c r="AB271" t="s">
        <v>33</v>
      </c>
      <c r="AC271" s="14" t="s">
        <v>2794</v>
      </c>
      <c r="AD271" t="s">
        <v>2782</v>
      </c>
      <c r="AE271" t="str">
        <f>PROPER(TRIM(AB271))</f>
        <v>Completed</v>
      </c>
      <c r="AS271" t="str">
        <f t="shared" si="6"/>
        <v/>
      </c>
    </row>
    <row r="272" spans="1:45">
      <c r="A272" t="s">
        <v>915</v>
      </c>
      <c r="B272" s="7">
        <v>45627</v>
      </c>
      <c r="C272" s="4">
        <v>45304</v>
      </c>
      <c r="D272" s="10">
        <f>C272-B272</f>
        <v>-323</v>
      </c>
      <c r="E272" t="str">
        <f>TEXT(B272,"mmmm")</f>
        <v>December</v>
      </c>
      <c r="F272">
        <f>YEAR(B272)</f>
        <v>2024</v>
      </c>
      <c r="G272" t="s">
        <v>916</v>
      </c>
      <c r="H272" t="s">
        <v>89</v>
      </c>
      <c r="I272" t="s">
        <v>90</v>
      </c>
      <c r="J272" t="s">
        <v>25</v>
      </c>
      <c r="K272" t="s">
        <v>136</v>
      </c>
      <c r="L272" t="s">
        <v>137</v>
      </c>
      <c r="M272" t="s">
        <v>74</v>
      </c>
      <c r="N272" t="s">
        <v>274</v>
      </c>
      <c r="O272" t="s">
        <v>917</v>
      </c>
      <c r="P272" t="s">
        <v>44</v>
      </c>
      <c r="Q272">
        <v>3</v>
      </c>
      <c r="R272">
        <v>827.44</v>
      </c>
      <c r="S272">
        <v>0</v>
      </c>
      <c r="T272" s="12">
        <f>S272</f>
        <v>0</v>
      </c>
      <c r="U272">
        <v>2482.3200000000002</v>
      </c>
      <c r="V272">
        <f>Q272*R272*(1-S272)</f>
        <v>2482.3200000000002</v>
      </c>
      <c r="W272">
        <v>1520.21</v>
      </c>
      <c r="X272">
        <v>962.11</v>
      </c>
      <c r="Y272">
        <f>V272-W272</f>
        <v>962.11000000000013</v>
      </c>
      <c r="Z272" s="12">
        <f>Y272/V272</f>
        <v>0.38758500112797706</v>
      </c>
      <c r="AA272" t="s">
        <v>32</v>
      </c>
      <c r="AB272" t="s">
        <v>33</v>
      </c>
      <c r="AC272" s="10" t="s">
        <v>2792</v>
      </c>
      <c r="AD272" t="s">
        <v>2782</v>
      </c>
      <c r="AE272" t="str">
        <f>PROPER(TRIM(AB272))</f>
        <v>Completed</v>
      </c>
      <c r="AS272" t="str">
        <f t="shared" si="6"/>
        <v/>
      </c>
    </row>
    <row r="273" spans="1:45">
      <c r="A273" t="s">
        <v>918</v>
      </c>
      <c r="B273" s="7">
        <v>45647</v>
      </c>
      <c r="C273" s="4">
        <v>45651</v>
      </c>
      <c r="D273">
        <f>C273-B273</f>
        <v>4</v>
      </c>
      <c r="E273" t="str">
        <f>TEXT(B273,"mmmm")</f>
        <v>December</v>
      </c>
      <c r="F273">
        <f>YEAR(B273)</f>
        <v>2024</v>
      </c>
      <c r="G273" t="s">
        <v>919</v>
      </c>
      <c r="H273" t="s">
        <v>89</v>
      </c>
      <c r="I273" t="s">
        <v>24</v>
      </c>
      <c r="J273" t="s">
        <v>54</v>
      </c>
      <c r="K273" t="s">
        <v>55</v>
      </c>
      <c r="L273" t="s">
        <v>56</v>
      </c>
      <c r="M273" t="s">
        <v>28</v>
      </c>
      <c r="N273" t="s">
        <v>153</v>
      </c>
      <c r="O273" t="s">
        <v>920</v>
      </c>
      <c r="P273" t="s">
        <v>59</v>
      </c>
      <c r="Q273">
        <v>7</v>
      </c>
      <c r="R273">
        <v>1667.75</v>
      </c>
      <c r="S273">
        <v>0</v>
      </c>
      <c r="T273" s="12">
        <f>S273</f>
        <v>0</v>
      </c>
      <c r="U273">
        <v>11674.25</v>
      </c>
      <c r="V273">
        <f>Q273*R273*(1-S273)</f>
        <v>11674.25</v>
      </c>
      <c r="W273">
        <v>9621.19</v>
      </c>
      <c r="X273">
        <v>2053.06</v>
      </c>
      <c r="Y273">
        <f>V273-W273</f>
        <v>2053.0599999999995</v>
      </c>
      <c r="Z273" s="12">
        <f>Y273/V273</f>
        <v>0.17586226095894808</v>
      </c>
      <c r="AA273" t="s">
        <v>155</v>
      </c>
      <c r="AB273" t="s">
        <v>68</v>
      </c>
      <c r="AC273" s="14" t="s">
        <v>2794</v>
      </c>
      <c r="AD273" t="s">
        <v>2782</v>
      </c>
      <c r="AE273" t="str">
        <f>PROPER(TRIM(AB273))</f>
        <v>Cancelled</v>
      </c>
      <c r="AS273" t="str">
        <f t="shared" si="6"/>
        <v/>
      </c>
    </row>
    <row r="274" spans="1:45">
      <c r="A274" t="s">
        <v>921</v>
      </c>
      <c r="B274" s="7">
        <v>45522</v>
      </c>
      <c r="C274" s="4">
        <v>45528</v>
      </c>
      <c r="D274">
        <f>C274-B274</f>
        <v>6</v>
      </c>
      <c r="E274" t="str">
        <f>TEXT(B274,"mmmm")</f>
        <v>August</v>
      </c>
      <c r="F274">
        <f>YEAR(B274)</f>
        <v>2024</v>
      </c>
      <c r="G274" t="s">
        <v>922</v>
      </c>
      <c r="H274" t="s">
        <v>53</v>
      </c>
      <c r="I274" t="s">
        <v>24</v>
      </c>
      <c r="J274" t="s">
        <v>54</v>
      </c>
      <c r="K274" t="s">
        <v>84</v>
      </c>
      <c r="L274" t="s">
        <v>85</v>
      </c>
      <c r="M274" t="s">
        <v>41</v>
      </c>
      <c r="N274" t="s">
        <v>66</v>
      </c>
      <c r="O274" t="s">
        <v>923</v>
      </c>
      <c r="P274" t="s">
        <v>50</v>
      </c>
      <c r="Q274">
        <v>7</v>
      </c>
      <c r="R274">
        <v>557.21</v>
      </c>
      <c r="S274">
        <v>0.1</v>
      </c>
      <c r="T274" s="12">
        <f>S274</f>
        <v>0.1</v>
      </c>
      <c r="U274">
        <v>3510.42</v>
      </c>
      <c r="V274">
        <f>Q274*R274*(1-S274)</f>
        <v>3510.4230000000002</v>
      </c>
      <c r="W274">
        <v>2191.5</v>
      </c>
      <c r="X274">
        <v>1213.48</v>
      </c>
      <c r="Y274">
        <f>V274-W274</f>
        <v>1318.9230000000002</v>
      </c>
      <c r="Z274" s="12">
        <f>Y274/V274</f>
        <v>0.37571625983535323</v>
      </c>
      <c r="AA274" t="s">
        <v>32</v>
      </c>
      <c r="AB274" t="s">
        <v>33</v>
      </c>
      <c r="AC274" s="14" t="s">
        <v>2794</v>
      </c>
      <c r="AD274" t="s">
        <v>2782</v>
      </c>
      <c r="AE274" t="str">
        <f>PROPER(TRIM(AB274))</f>
        <v>Completed</v>
      </c>
      <c r="AS274" t="str">
        <f t="shared" si="6"/>
        <v/>
      </c>
    </row>
    <row r="275" spans="1:45">
      <c r="A275" t="s">
        <v>924</v>
      </c>
      <c r="B275" s="7">
        <v>45701</v>
      </c>
      <c r="C275" s="4">
        <v>45701</v>
      </c>
      <c r="D275">
        <f>C275-B275</f>
        <v>0</v>
      </c>
      <c r="E275" t="str">
        <f>TEXT(B275,"mmmm")</f>
        <v>February</v>
      </c>
      <c r="F275">
        <f>YEAR(B275)</f>
        <v>2025</v>
      </c>
      <c r="G275" t="s">
        <v>925</v>
      </c>
      <c r="H275" t="s">
        <v>47</v>
      </c>
      <c r="I275" t="s">
        <v>24</v>
      </c>
      <c r="J275" t="s">
        <v>38</v>
      </c>
      <c r="K275" t="s">
        <v>145</v>
      </c>
      <c r="L275" t="s">
        <v>146</v>
      </c>
      <c r="M275" t="s">
        <v>28</v>
      </c>
      <c r="N275" t="s">
        <v>29</v>
      </c>
      <c r="O275" t="s">
        <v>926</v>
      </c>
      <c r="P275" t="s">
        <v>31</v>
      </c>
      <c r="Q275">
        <v>9</v>
      </c>
      <c r="R275">
        <v>2521.63</v>
      </c>
      <c r="S275">
        <v>0</v>
      </c>
      <c r="T275" s="12">
        <f>S275</f>
        <v>0</v>
      </c>
      <c r="U275">
        <v>22694.67</v>
      </c>
      <c r="V275">
        <f>Q275*R275*(1-S275)</f>
        <v>22694.670000000002</v>
      </c>
      <c r="W275">
        <v>15405.36</v>
      </c>
      <c r="X275">
        <v>7289.31</v>
      </c>
      <c r="Y275">
        <f>V275-W275</f>
        <v>7289.3100000000013</v>
      </c>
      <c r="Z275" s="12">
        <f>Y275/V275</f>
        <v>0.32119039404406413</v>
      </c>
      <c r="AA275" t="s">
        <v>32</v>
      </c>
      <c r="AB275" t="s">
        <v>103</v>
      </c>
      <c r="AC275" s="14" t="s">
        <v>2794</v>
      </c>
      <c r="AD275" t="s">
        <v>2782</v>
      </c>
      <c r="AE275" t="str">
        <f>PROPER(TRIM(AB275))</f>
        <v>Returned</v>
      </c>
      <c r="AS275" t="str">
        <f t="shared" si="6"/>
        <v/>
      </c>
    </row>
    <row r="276" spans="1:45">
      <c r="A276" t="s">
        <v>927</v>
      </c>
      <c r="B276" s="7">
        <v>45389</v>
      </c>
      <c r="C276" s="4">
        <v>45396</v>
      </c>
      <c r="D276">
        <f>C276-B276</f>
        <v>7</v>
      </c>
      <c r="E276" t="str">
        <f>TEXT(B276,"mmmm")</f>
        <v>April</v>
      </c>
      <c r="F276">
        <f>YEAR(B276)</f>
        <v>2024</v>
      </c>
      <c r="G276" t="s">
        <v>928</v>
      </c>
      <c r="H276" t="s">
        <v>141</v>
      </c>
      <c r="I276" t="s">
        <v>24</v>
      </c>
      <c r="J276" t="s">
        <v>54</v>
      </c>
      <c r="K276" t="s">
        <v>185</v>
      </c>
      <c r="L276" t="s">
        <v>186</v>
      </c>
      <c r="M276" t="s">
        <v>74</v>
      </c>
      <c r="N276" t="s">
        <v>80</v>
      </c>
      <c r="O276" t="s">
        <v>929</v>
      </c>
      <c r="P276" t="s">
        <v>59</v>
      </c>
      <c r="Q276">
        <v>6</v>
      </c>
      <c r="R276">
        <v>4246.71</v>
      </c>
      <c r="S276">
        <v>0.15</v>
      </c>
      <c r="T276" s="12">
        <f>S276</f>
        <v>0.15</v>
      </c>
      <c r="U276">
        <v>21658.22</v>
      </c>
      <c r="V276">
        <f>Q276*R276*(1-S276)</f>
        <v>21658.221000000001</v>
      </c>
      <c r="W276">
        <v>15490.69</v>
      </c>
      <c r="X276">
        <v>6167.53</v>
      </c>
      <c r="Y276">
        <f>V276-W276</f>
        <v>6167.5310000000009</v>
      </c>
      <c r="Z276" s="12">
        <f>Y276/V276</f>
        <v>0.28476627881856043</v>
      </c>
      <c r="AA276" t="s">
        <v>155</v>
      </c>
      <c r="AB276" t="s">
        <v>103</v>
      </c>
      <c r="AC276" s="14" t="s">
        <v>2794</v>
      </c>
      <c r="AD276" t="s">
        <v>2782</v>
      </c>
      <c r="AE276" t="str">
        <f>PROPER(TRIM(AB276))</f>
        <v>Returned</v>
      </c>
      <c r="AS276" t="str">
        <f t="shared" si="6"/>
        <v/>
      </c>
    </row>
    <row r="277" spans="1:45">
      <c r="A277" t="s">
        <v>930</v>
      </c>
      <c r="B277" s="7">
        <v>45337</v>
      </c>
      <c r="C277" s="4">
        <v>45344</v>
      </c>
      <c r="D277">
        <f>C277-B277</f>
        <v>7</v>
      </c>
      <c r="E277" t="str">
        <f>TEXT(B277,"mmmm")</f>
        <v>February</v>
      </c>
      <c r="F277">
        <f>YEAR(B277)</f>
        <v>2024</v>
      </c>
      <c r="G277" t="s">
        <v>931</v>
      </c>
      <c r="H277" t="s">
        <v>114</v>
      </c>
      <c r="I277" t="s">
        <v>37</v>
      </c>
      <c r="J277" t="s">
        <v>38</v>
      </c>
      <c r="K277" t="s">
        <v>99</v>
      </c>
      <c r="L277" t="s">
        <v>100</v>
      </c>
      <c r="M277" t="s">
        <v>41</v>
      </c>
      <c r="N277" t="s">
        <v>57</v>
      </c>
      <c r="O277" t="s">
        <v>932</v>
      </c>
      <c r="P277" t="s">
        <v>44</v>
      </c>
      <c r="Q277">
        <v>1</v>
      </c>
      <c r="R277">
        <v>980.51</v>
      </c>
      <c r="S277">
        <v>0</v>
      </c>
      <c r="T277" s="12">
        <f>S277</f>
        <v>0</v>
      </c>
      <c r="U277">
        <v>980.51</v>
      </c>
      <c r="V277">
        <f>Q277*R277*(1-S277)</f>
        <v>980.51</v>
      </c>
      <c r="W277">
        <v>660.92</v>
      </c>
      <c r="X277">
        <v>319.58999999999997</v>
      </c>
      <c r="Y277">
        <f>V277-W277</f>
        <v>319.59000000000003</v>
      </c>
      <c r="Z277" s="12">
        <f>Y277/V277</f>
        <v>0.32594262169687205</v>
      </c>
      <c r="AA277" t="s">
        <v>32</v>
      </c>
      <c r="AB277" t="s">
        <v>33</v>
      </c>
      <c r="AC277" s="14" t="s">
        <v>2794</v>
      </c>
      <c r="AD277" t="s">
        <v>2782</v>
      </c>
      <c r="AE277" t="str">
        <f>PROPER(TRIM(AB277))</f>
        <v>Completed</v>
      </c>
      <c r="AS277" t="str">
        <f t="shared" si="6"/>
        <v/>
      </c>
    </row>
    <row r="278" spans="1:45">
      <c r="A278" t="s">
        <v>933</v>
      </c>
      <c r="B278" s="7">
        <v>45313</v>
      </c>
      <c r="C278" s="4">
        <v>45314</v>
      </c>
      <c r="D278">
        <f>C278-B278</f>
        <v>1</v>
      </c>
      <c r="E278" t="str">
        <f>TEXT(B278,"mmmm")</f>
        <v>January</v>
      </c>
      <c r="F278">
        <f>YEAR(B278)</f>
        <v>2024</v>
      </c>
      <c r="G278" t="s">
        <v>934</v>
      </c>
      <c r="H278" t="s">
        <v>128</v>
      </c>
      <c r="I278" t="s">
        <v>37</v>
      </c>
      <c r="J278" t="s">
        <v>2783</v>
      </c>
      <c r="K278" t="s">
        <v>166</v>
      </c>
      <c r="L278" t="s">
        <v>167</v>
      </c>
      <c r="M278" t="s">
        <v>41</v>
      </c>
      <c r="N278" t="s">
        <v>66</v>
      </c>
      <c r="O278" t="s">
        <v>935</v>
      </c>
      <c r="P278" t="s">
        <v>31</v>
      </c>
      <c r="Q278">
        <v>6</v>
      </c>
      <c r="R278">
        <v>3391.53</v>
      </c>
      <c r="S278">
        <v>-0.14000000000000001</v>
      </c>
      <c r="T278" s="13">
        <f>S278</f>
        <v>-0.14000000000000001</v>
      </c>
      <c r="U278">
        <v>15261.89</v>
      </c>
      <c r="V278">
        <f>Q278*R278*(1-S278)</f>
        <v>23198.065200000005</v>
      </c>
      <c r="W278">
        <v>8413.5300000000007</v>
      </c>
      <c r="X278">
        <v>6848.36</v>
      </c>
      <c r="Y278">
        <f>V278-W278</f>
        <v>14784.535200000004</v>
      </c>
      <c r="Z278" s="12">
        <f>Y278/V278</f>
        <v>0.63731759836591895</v>
      </c>
      <c r="AA278" t="s">
        <v>32</v>
      </c>
      <c r="AB278" t="s">
        <v>33</v>
      </c>
      <c r="AC278" s="10" t="s">
        <v>2796</v>
      </c>
      <c r="AD278" t="s">
        <v>2782</v>
      </c>
      <c r="AE278" t="str">
        <f>PROPER(TRIM(AB278))</f>
        <v>Completed</v>
      </c>
      <c r="AS278" t="str">
        <f t="shared" si="6"/>
        <v/>
      </c>
    </row>
    <row r="279" spans="1:45">
      <c r="A279" t="s">
        <v>936</v>
      </c>
      <c r="B279" s="7">
        <v>45812</v>
      </c>
      <c r="C279" s="4">
        <v>45812</v>
      </c>
      <c r="D279">
        <f>C279-B279</f>
        <v>0</v>
      </c>
      <c r="E279" t="str">
        <f>TEXT(B279,"mmmm")</f>
        <v>June</v>
      </c>
      <c r="F279">
        <f>YEAR(B279)</f>
        <v>2025</v>
      </c>
      <c r="G279" t="s">
        <v>788</v>
      </c>
      <c r="H279" t="s">
        <v>47</v>
      </c>
      <c r="I279" t="s">
        <v>90</v>
      </c>
      <c r="J279" t="s">
        <v>25</v>
      </c>
      <c r="K279" t="s">
        <v>236</v>
      </c>
      <c r="L279" t="s">
        <v>237</v>
      </c>
      <c r="M279" t="s">
        <v>74</v>
      </c>
      <c r="N279" t="s">
        <v>75</v>
      </c>
      <c r="O279" t="s">
        <v>937</v>
      </c>
      <c r="P279" t="s">
        <v>31</v>
      </c>
      <c r="Q279">
        <v>1</v>
      </c>
      <c r="R279">
        <v>2133.73</v>
      </c>
      <c r="S279">
        <v>0.15</v>
      </c>
      <c r="T279" s="12">
        <f>S279</f>
        <v>0.15</v>
      </c>
      <c r="U279">
        <v>2008.39</v>
      </c>
      <c r="V279">
        <f>Q279*R279*(1-S279)</f>
        <v>1813.6704999999999</v>
      </c>
      <c r="W279">
        <v>1002.57</v>
      </c>
      <c r="X279">
        <v>811.1</v>
      </c>
      <c r="Y279">
        <f>V279-W279</f>
        <v>811.1004999999999</v>
      </c>
      <c r="Z279" s="12">
        <f>Y279/V279</f>
        <v>0.4472149158295291</v>
      </c>
      <c r="AA279" t="s">
        <v>111</v>
      </c>
      <c r="AB279" t="s">
        <v>68</v>
      </c>
      <c r="AC279" s="14" t="s">
        <v>2794</v>
      </c>
      <c r="AD279" t="s">
        <v>2782</v>
      </c>
      <c r="AE279" t="str">
        <f>PROPER(TRIM(AB279))</f>
        <v>Cancelled</v>
      </c>
      <c r="AS279" t="str">
        <f t="shared" si="6"/>
        <v/>
      </c>
    </row>
    <row r="280" spans="1:45">
      <c r="A280" t="s">
        <v>938</v>
      </c>
      <c r="B280" s="7">
        <v>45723</v>
      </c>
      <c r="C280" s="4">
        <v>45730</v>
      </c>
      <c r="D280">
        <f>C280-B280</f>
        <v>7</v>
      </c>
      <c r="E280" t="str">
        <f>TEXT(B280,"mmmm")</f>
        <v>March</v>
      </c>
      <c r="F280">
        <f>YEAR(B280)</f>
        <v>2025</v>
      </c>
      <c r="G280" t="s">
        <v>939</v>
      </c>
      <c r="H280" t="s">
        <v>114</v>
      </c>
      <c r="I280" t="s">
        <v>37</v>
      </c>
      <c r="J280" t="s">
        <v>25</v>
      </c>
      <c r="K280" t="s">
        <v>350</v>
      </c>
      <c r="L280" t="s">
        <v>351</v>
      </c>
      <c r="M280" t="s">
        <v>74</v>
      </c>
      <c r="N280" t="s">
        <v>75</v>
      </c>
      <c r="O280" t="s">
        <v>940</v>
      </c>
      <c r="P280" t="s">
        <v>44</v>
      </c>
      <c r="Q280">
        <v>1</v>
      </c>
      <c r="R280">
        <v>3979.64</v>
      </c>
      <c r="S280">
        <v>0.05</v>
      </c>
      <c r="T280" s="12">
        <f>S280</f>
        <v>0.05</v>
      </c>
      <c r="U280">
        <v>3780.66</v>
      </c>
      <c r="V280">
        <f>Q280*R280*(1-S280)</f>
        <v>3780.6579999999999</v>
      </c>
      <c r="W280">
        <v>2148.31</v>
      </c>
      <c r="X280">
        <v>1632.35</v>
      </c>
      <c r="Y280">
        <f>V280-W280</f>
        <v>1632.348</v>
      </c>
      <c r="Z280" s="12">
        <f>Y280/V280</f>
        <v>0.43176293650470365</v>
      </c>
      <c r="AA280" t="s">
        <v>32</v>
      </c>
      <c r="AB280" t="s">
        <v>103</v>
      </c>
      <c r="AC280" s="14" t="s">
        <v>2794</v>
      </c>
      <c r="AD280" t="s">
        <v>2782</v>
      </c>
      <c r="AE280" t="str">
        <f>PROPER(TRIM(AB280))</f>
        <v>Returned</v>
      </c>
      <c r="AS280" t="str">
        <f t="shared" si="6"/>
        <v/>
      </c>
    </row>
    <row r="281" spans="1:45">
      <c r="A281" t="s">
        <v>941</v>
      </c>
      <c r="B281" s="7">
        <v>45539</v>
      </c>
      <c r="C281" s="4">
        <v>45392</v>
      </c>
      <c r="D281" s="10">
        <f>C281-B281</f>
        <v>-147</v>
      </c>
      <c r="E281" t="str">
        <f>TEXT(B281,"mmmm")</f>
        <v>September</v>
      </c>
      <c r="F281">
        <f>YEAR(B281)</f>
        <v>2024</v>
      </c>
      <c r="G281" t="s">
        <v>942</v>
      </c>
      <c r="H281" t="s">
        <v>141</v>
      </c>
      <c r="I281" t="s">
        <v>37</v>
      </c>
      <c r="J281" t="s">
        <v>63</v>
      </c>
      <c r="K281" t="s">
        <v>64</v>
      </c>
      <c r="L281" t="s">
        <v>65</v>
      </c>
      <c r="M281" t="s">
        <v>28</v>
      </c>
      <c r="N281" t="s">
        <v>124</v>
      </c>
      <c r="O281" t="s">
        <v>943</v>
      </c>
      <c r="P281" t="s">
        <v>50</v>
      </c>
      <c r="Q281">
        <v>1</v>
      </c>
      <c r="R281">
        <v>4359.12</v>
      </c>
      <c r="S281">
        <v>0.05</v>
      </c>
      <c r="T281" s="12">
        <f>S281</f>
        <v>0.05</v>
      </c>
      <c r="U281">
        <v>4141.16</v>
      </c>
      <c r="V281">
        <f>Q281*R281*(1-S281)</f>
        <v>4141.1639999999998</v>
      </c>
      <c r="W281">
        <v>2754.17</v>
      </c>
      <c r="X281">
        <v>1386.99</v>
      </c>
      <c r="Y281">
        <f>V281-W281</f>
        <v>1386.9939999999997</v>
      </c>
      <c r="Z281" s="12">
        <f>Y281/V281</f>
        <v>0.33492853700070796</v>
      </c>
      <c r="AA281" t="s">
        <v>32</v>
      </c>
      <c r="AB281" t="s">
        <v>33</v>
      </c>
      <c r="AC281" s="10" t="s">
        <v>2792</v>
      </c>
      <c r="AD281" t="s">
        <v>2782</v>
      </c>
      <c r="AE281" t="str">
        <f>PROPER(TRIM(AB281))</f>
        <v>Completed</v>
      </c>
      <c r="AS281" t="str">
        <f t="shared" si="6"/>
        <v/>
      </c>
    </row>
    <row r="282" spans="1:45">
      <c r="A282" t="s">
        <v>944</v>
      </c>
      <c r="B282" s="7">
        <v>45649</v>
      </c>
      <c r="C282" s="4">
        <v>45652</v>
      </c>
      <c r="D282">
        <f>C282-B282</f>
        <v>3</v>
      </c>
      <c r="E282" t="str">
        <f>TEXT(B282,"mmmm")</f>
        <v>December</v>
      </c>
      <c r="F282">
        <f>YEAR(B282)</f>
        <v>2024</v>
      </c>
      <c r="G282" t="s">
        <v>945</v>
      </c>
      <c r="H282" t="s">
        <v>89</v>
      </c>
      <c r="I282" t="s">
        <v>24</v>
      </c>
      <c r="J282" t="s">
        <v>54</v>
      </c>
      <c r="K282" t="s">
        <v>175</v>
      </c>
      <c r="L282" t="s">
        <v>176</v>
      </c>
      <c r="M282" t="s">
        <v>74</v>
      </c>
      <c r="N282" t="s">
        <v>80</v>
      </c>
      <c r="O282" t="s">
        <v>946</v>
      </c>
      <c r="P282" t="s">
        <v>59</v>
      </c>
      <c r="Q282">
        <v>9</v>
      </c>
      <c r="R282">
        <v>993.67</v>
      </c>
      <c r="S282">
        <v>0</v>
      </c>
      <c r="T282" s="12">
        <f>S282</f>
        <v>0</v>
      </c>
      <c r="U282">
        <v>8943.0300000000007</v>
      </c>
      <c r="V282">
        <f>Q282*R282*(1-S282)</f>
        <v>8943.0299999999988</v>
      </c>
      <c r="W282">
        <v>5165.38</v>
      </c>
      <c r="X282">
        <v>3777.65</v>
      </c>
      <c r="Y282">
        <f>V282-W282</f>
        <v>3777.6499999999987</v>
      </c>
      <c r="Z282" s="12">
        <f>Y282/V282</f>
        <v>0.42241276167026154</v>
      </c>
      <c r="AA282" t="s">
        <v>32</v>
      </c>
      <c r="AB282" t="s">
        <v>33</v>
      </c>
      <c r="AC282" s="14" t="s">
        <v>2794</v>
      </c>
      <c r="AD282" t="s">
        <v>2782</v>
      </c>
      <c r="AE282" t="str">
        <f>PROPER(TRIM(AB282))</f>
        <v>Completed</v>
      </c>
      <c r="AS282" t="str">
        <f t="shared" si="6"/>
        <v/>
      </c>
    </row>
    <row r="283" spans="1:45">
      <c r="A283" t="s">
        <v>947</v>
      </c>
      <c r="B283" s="7">
        <v>45863</v>
      </c>
      <c r="C283" s="4">
        <v>45865</v>
      </c>
      <c r="D283">
        <f>C283-B283</f>
        <v>2</v>
      </c>
      <c r="E283" t="str">
        <f>TEXT(B283,"mmmm")</f>
        <v>July</v>
      </c>
      <c r="F283">
        <f>YEAR(B283)</f>
        <v>2025</v>
      </c>
      <c r="G283" t="s">
        <v>948</v>
      </c>
      <c r="H283" t="s">
        <v>264</v>
      </c>
      <c r="I283" t="s">
        <v>24</v>
      </c>
      <c r="J283" t="s">
        <v>38</v>
      </c>
      <c r="K283" t="s">
        <v>228</v>
      </c>
      <c r="L283" t="s">
        <v>229</v>
      </c>
      <c r="M283" t="s">
        <v>28</v>
      </c>
      <c r="N283" t="s">
        <v>153</v>
      </c>
      <c r="O283" t="s">
        <v>949</v>
      </c>
      <c r="P283" t="s">
        <v>31</v>
      </c>
      <c r="Q283">
        <v>6</v>
      </c>
      <c r="R283">
        <v>3438.38</v>
      </c>
      <c r="S283">
        <v>0.2</v>
      </c>
      <c r="T283" s="12">
        <f>S283</f>
        <v>0.2</v>
      </c>
      <c r="U283">
        <v>16504.22</v>
      </c>
      <c r="V283">
        <f>Q283*R283*(1-S283)</f>
        <v>16504.223999999998</v>
      </c>
      <c r="W283">
        <v>11262.71</v>
      </c>
      <c r="X283">
        <v>5241.51</v>
      </c>
      <c r="Y283">
        <f>V283-W283</f>
        <v>5241.5139999999992</v>
      </c>
      <c r="Z283" s="12">
        <f>Y283/V283</f>
        <v>0.31758621308096641</v>
      </c>
      <c r="AA283" t="s">
        <v>32</v>
      </c>
      <c r="AB283" t="s">
        <v>33</v>
      </c>
      <c r="AC283" s="14" t="s">
        <v>2794</v>
      </c>
      <c r="AD283" t="s">
        <v>2782</v>
      </c>
      <c r="AE283" t="str">
        <f>PROPER(TRIM(AB283))</f>
        <v>Completed</v>
      </c>
      <c r="AS283" t="str">
        <f t="shared" si="6"/>
        <v/>
      </c>
    </row>
    <row r="284" spans="1:45">
      <c r="A284" t="s">
        <v>950</v>
      </c>
      <c r="B284" s="7">
        <v>45566</v>
      </c>
      <c r="C284" s="4">
        <v>45332</v>
      </c>
      <c r="D284" s="10">
        <f>C284-B284</f>
        <v>-234</v>
      </c>
      <c r="E284" t="str">
        <f>TEXT(B284,"mmmm")</f>
        <v>October</v>
      </c>
      <c r="F284">
        <f>YEAR(B284)</f>
        <v>2024</v>
      </c>
      <c r="G284" t="s">
        <v>951</v>
      </c>
      <c r="H284" t="s">
        <v>23</v>
      </c>
      <c r="I284" t="s">
        <v>95</v>
      </c>
      <c r="J284" t="s">
        <v>38</v>
      </c>
      <c r="K284" t="s">
        <v>166</v>
      </c>
      <c r="L284" t="s">
        <v>167</v>
      </c>
      <c r="M284" t="s">
        <v>41</v>
      </c>
      <c r="N284" t="s">
        <v>42</v>
      </c>
      <c r="O284" t="s">
        <v>952</v>
      </c>
      <c r="P284" t="s">
        <v>31</v>
      </c>
      <c r="Q284">
        <v>2</v>
      </c>
      <c r="R284">
        <v>2298</v>
      </c>
      <c r="S284">
        <v>0</v>
      </c>
      <c r="T284" s="12">
        <f>S284</f>
        <v>0</v>
      </c>
      <c r="U284">
        <v>4596</v>
      </c>
      <c r="V284">
        <f>Q284*R284*(1-S284)</f>
        <v>4596</v>
      </c>
      <c r="W284">
        <v>3220.33</v>
      </c>
      <c r="X284">
        <v>1375.67</v>
      </c>
      <c r="Y284">
        <f>V284-W284</f>
        <v>1375.67</v>
      </c>
      <c r="Z284" s="12">
        <f>Y284/V284</f>
        <v>0.29931897302001742</v>
      </c>
      <c r="AA284" t="s">
        <v>32</v>
      </c>
      <c r="AB284" t="s">
        <v>33</v>
      </c>
      <c r="AC284" s="10" t="s">
        <v>2792</v>
      </c>
      <c r="AD284" t="s">
        <v>2782</v>
      </c>
      <c r="AE284" t="str">
        <f>PROPER(TRIM(AB284))</f>
        <v>Completed</v>
      </c>
      <c r="AS284" t="str">
        <f t="shared" si="6"/>
        <v/>
      </c>
    </row>
    <row r="285" spans="1:45">
      <c r="A285" t="s">
        <v>953</v>
      </c>
      <c r="B285" s="7">
        <v>45729</v>
      </c>
      <c r="C285" s="4">
        <v>45736</v>
      </c>
      <c r="D285">
        <f>C285-B285</f>
        <v>7</v>
      </c>
      <c r="E285" t="str">
        <f>TEXT(B285,"mmmm")</f>
        <v>March</v>
      </c>
      <c r="F285">
        <f>YEAR(B285)</f>
        <v>2025</v>
      </c>
      <c r="G285" t="s">
        <v>954</v>
      </c>
      <c r="H285" t="s">
        <v>71</v>
      </c>
      <c r="I285" t="s">
        <v>24</v>
      </c>
      <c r="J285" t="s">
        <v>63</v>
      </c>
      <c r="K285" t="s">
        <v>64</v>
      </c>
      <c r="L285" t="s">
        <v>65</v>
      </c>
      <c r="M285" t="s">
        <v>41</v>
      </c>
      <c r="N285" t="s">
        <v>57</v>
      </c>
      <c r="O285" t="s">
        <v>955</v>
      </c>
      <c r="P285" t="s">
        <v>50</v>
      </c>
      <c r="Q285">
        <v>1</v>
      </c>
      <c r="R285">
        <v>1814.01</v>
      </c>
      <c r="S285">
        <v>0</v>
      </c>
      <c r="T285" s="12">
        <f>S285</f>
        <v>0</v>
      </c>
      <c r="U285">
        <v>1814.01</v>
      </c>
      <c r="V285">
        <f>Q285*R285*(1-S285)</f>
        <v>1814.01</v>
      </c>
      <c r="W285">
        <v>1033.47</v>
      </c>
      <c r="X285">
        <v>780.54</v>
      </c>
      <c r="Y285">
        <f>V285-W285</f>
        <v>780.54</v>
      </c>
      <c r="Z285" s="12">
        <f>Y285/V285</f>
        <v>0.43028428729720342</v>
      </c>
      <c r="AA285" t="s">
        <v>32</v>
      </c>
      <c r="AB285" t="s">
        <v>33</v>
      </c>
      <c r="AC285" s="14" t="s">
        <v>2794</v>
      </c>
      <c r="AD285" t="s">
        <v>2782</v>
      </c>
      <c r="AE285" t="str">
        <f>PROPER(TRIM(AB285))</f>
        <v>Completed</v>
      </c>
      <c r="AS285" t="str">
        <f t="shared" si="6"/>
        <v/>
      </c>
    </row>
    <row r="286" spans="1:45">
      <c r="A286" t="s">
        <v>956</v>
      </c>
      <c r="B286" s="7">
        <v>45516</v>
      </c>
      <c r="C286" s="4">
        <v>45640</v>
      </c>
      <c r="D286">
        <f>C286-B286</f>
        <v>124</v>
      </c>
      <c r="E286" t="str">
        <f>TEXT(B286,"mmmm")</f>
        <v>August</v>
      </c>
      <c r="F286">
        <f>YEAR(B286)</f>
        <v>2024</v>
      </c>
      <c r="G286" t="s">
        <v>957</v>
      </c>
      <c r="H286" t="s">
        <v>23</v>
      </c>
      <c r="I286" t="s">
        <v>24</v>
      </c>
      <c r="J286" t="s">
        <v>38</v>
      </c>
      <c r="K286" t="s">
        <v>39</v>
      </c>
      <c r="L286" t="s">
        <v>40</v>
      </c>
      <c r="M286" t="s">
        <v>41</v>
      </c>
      <c r="N286" t="s">
        <v>42</v>
      </c>
      <c r="O286" t="s">
        <v>958</v>
      </c>
      <c r="P286" t="s">
        <v>44</v>
      </c>
      <c r="Q286">
        <v>3</v>
      </c>
      <c r="R286">
        <v>1576.92</v>
      </c>
      <c r="S286">
        <v>0</v>
      </c>
      <c r="T286" s="12">
        <f>S286</f>
        <v>0</v>
      </c>
      <c r="U286">
        <v>4730.76</v>
      </c>
      <c r="V286">
        <f>Q286*R286*(1-S286)</f>
        <v>4730.76</v>
      </c>
      <c r="W286">
        <v>3139.73</v>
      </c>
      <c r="X286">
        <v>1591.03</v>
      </c>
      <c r="Y286">
        <f>V286-W286</f>
        <v>1591.0300000000002</v>
      </c>
      <c r="Z286" s="12">
        <f>Y286/V286</f>
        <v>0.33631594077907145</v>
      </c>
      <c r="AA286" t="s">
        <v>32</v>
      </c>
      <c r="AB286" t="s">
        <v>103</v>
      </c>
      <c r="AC286" s="14" t="s">
        <v>2794</v>
      </c>
      <c r="AD286" t="s">
        <v>2782</v>
      </c>
      <c r="AE286" t="str">
        <f>PROPER(TRIM(AB286))</f>
        <v>Returned</v>
      </c>
      <c r="AS286" t="str">
        <f t="shared" si="6"/>
        <v/>
      </c>
    </row>
    <row r="287" spans="1:45">
      <c r="A287" t="s">
        <v>959</v>
      </c>
      <c r="B287" s="7">
        <v>45884</v>
      </c>
      <c r="C287" s="4">
        <v>45889</v>
      </c>
      <c r="D287">
        <f>C287-B287</f>
        <v>5</v>
      </c>
      <c r="E287" t="str">
        <f>TEXT(B287,"mmmm")</f>
        <v>August</v>
      </c>
      <c r="F287">
        <f>YEAR(B287)</f>
        <v>2025</v>
      </c>
      <c r="G287" t="s">
        <v>960</v>
      </c>
      <c r="H287" t="s">
        <v>79</v>
      </c>
      <c r="I287" t="s">
        <v>95</v>
      </c>
      <c r="J287" t="s">
        <v>25</v>
      </c>
      <c r="K287" t="s">
        <v>26</v>
      </c>
      <c r="L287" t="s">
        <v>27</v>
      </c>
      <c r="M287" t="s">
        <v>28</v>
      </c>
      <c r="N287" t="s">
        <v>124</v>
      </c>
      <c r="O287" t="s">
        <v>961</v>
      </c>
      <c r="P287" t="s">
        <v>59</v>
      </c>
      <c r="Q287">
        <v>9</v>
      </c>
      <c r="R287">
        <v>4081.77</v>
      </c>
      <c r="S287">
        <v>0</v>
      </c>
      <c r="T287" s="12">
        <f>S287</f>
        <v>0</v>
      </c>
      <c r="U287">
        <v>36735.93</v>
      </c>
      <c r="V287">
        <f>Q287*R287*(1-S287)</f>
        <v>36735.93</v>
      </c>
      <c r="W287">
        <v>30820.84</v>
      </c>
      <c r="X287">
        <v>5915.09</v>
      </c>
      <c r="Y287">
        <f>V287-W287</f>
        <v>5915.09</v>
      </c>
      <c r="Z287" s="12">
        <f>Y287/V287</f>
        <v>0.16101647624001897</v>
      </c>
      <c r="AA287" t="s">
        <v>32</v>
      </c>
      <c r="AB287" t="s">
        <v>33</v>
      </c>
      <c r="AC287" s="14" t="s">
        <v>2794</v>
      </c>
      <c r="AD287" t="s">
        <v>2782</v>
      </c>
      <c r="AE287" t="str">
        <f>PROPER(TRIM(AB287))</f>
        <v>Completed</v>
      </c>
      <c r="AS287" t="str">
        <f t="shared" si="6"/>
        <v/>
      </c>
    </row>
    <row r="288" spans="1:45">
      <c r="A288" t="s">
        <v>962</v>
      </c>
      <c r="B288" s="7">
        <v>45350</v>
      </c>
      <c r="C288" s="4">
        <v>45325</v>
      </c>
      <c r="D288" s="10">
        <f>C288-B288</f>
        <v>-25</v>
      </c>
      <c r="E288" t="str">
        <f>TEXT(B288,"mmmm")</f>
        <v>February</v>
      </c>
      <c r="F288">
        <f>YEAR(B288)</f>
        <v>2024</v>
      </c>
      <c r="G288" t="s">
        <v>963</v>
      </c>
      <c r="H288" t="s">
        <v>114</v>
      </c>
      <c r="I288" t="s">
        <v>37</v>
      </c>
      <c r="J288" t="s">
        <v>25</v>
      </c>
      <c r="K288" t="s">
        <v>350</v>
      </c>
      <c r="L288" t="s">
        <v>351</v>
      </c>
      <c r="M288" t="s">
        <v>41</v>
      </c>
      <c r="N288" t="s">
        <v>57</v>
      </c>
      <c r="O288" t="s">
        <v>964</v>
      </c>
      <c r="P288" t="s">
        <v>50</v>
      </c>
      <c r="Q288">
        <v>7</v>
      </c>
      <c r="R288">
        <v>701.8</v>
      </c>
      <c r="S288">
        <v>0.1</v>
      </c>
      <c r="T288" s="12">
        <f>S288</f>
        <v>0.1</v>
      </c>
      <c r="U288">
        <v>4421.34</v>
      </c>
      <c r="V288">
        <f>Q288*R288*(1-S288)</f>
        <v>4421.3399999999992</v>
      </c>
      <c r="W288">
        <v>2489.98</v>
      </c>
      <c r="X288">
        <v>1931.36</v>
      </c>
      <c r="Y288">
        <f>V288-W288</f>
        <v>1931.3599999999992</v>
      </c>
      <c r="Z288" s="12">
        <f>Y288/V288</f>
        <v>0.43682684435035524</v>
      </c>
      <c r="AA288" t="s">
        <v>111</v>
      </c>
      <c r="AB288" t="s">
        <v>103</v>
      </c>
      <c r="AC288" s="10" t="s">
        <v>2792</v>
      </c>
      <c r="AD288" t="s">
        <v>2782</v>
      </c>
      <c r="AE288" t="str">
        <f>PROPER(TRIM(AB288))</f>
        <v>Returned</v>
      </c>
      <c r="AS288" t="str">
        <f t="shared" si="6"/>
        <v/>
      </c>
    </row>
    <row r="289" spans="1:45">
      <c r="A289" t="s">
        <v>965</v>
      </c>
      <c r="B289" s="7">
        <v>45421</v>
      </c>
      <c r="C289" s="4">
        <v>45542</v>
      </c>
      <c r="D289">
        <f>C289-B289</f>
        <v>121</v>
      </c>
      <c r="E289" t="str">
        <f>TEXT(B289,"mmmm")</f>
        <v>May</v>
      </c>
      <c r="F289">
        <f>YEAR(B289)</f>
        <v>2024</v>
      </c>
      <c r="G289" t="s">
        <v>966</v>
      </c>
      <c r="H289" t="s">
        <v>79</v>
      </c>
      <c r="I289" t="s">
        <v>37</v>
      </c>
      <c r="J289" t="s">
        <v>54</v>
      </c>
      <c r="K289" t="s">
        <v>247</v>
      </c>
      <c r="L289" t="s">
        <v>248</v>
      </c>
      <c r="M289" t="s">
        <v>74</v>
      </c>
      <c r="N289" t="s">
        <v>80</v>
      </c>
      <c r="O289" t="s">
        <v>967</v>
      </c>
      <c r="P289" t="s">
        <v>59</v>
      </c>
      <c r="Q289">
        <v>3</v>
      </c>
      <c r="R289">
        <v>2555.66</v>
      </c>
      <c r="S289">
        <v>0.15</v>
      </c>
      <c r="T289" s="12">
        <f>S289</f>
        <v>0.15</v>
      </c>
      <c r="U289">
        <v>6516.93</v>
      </c>
      <c r="V289">
        <f>Q289*R289*(1-S289)</f>
        <v>6516.9329999999991</v>
      </c>
      <c r="W289">
        <v>4511.54</v>
      </c>
      <c r="X289">
        <v>2005.39</v>
      </c>
      <c r="Y289">
        <f>V289-W289</f>
        <v>2005.3929999999991</v>
      </c>
      <c r="Z289" s="12">
        <f>Y289/V289</f>
        <v>0.30772036477895343</v>
      </c>
      <c r="AA289" t="s">
        <v>32</v>
      </c>
      <c r="AB289" t="s">
        <v>68</v>
      </c>
      <c r="AC289" s="14" t="s">
        <v>2794</v>
      </c>
      <c r="AD289" t="s">
        <v>2782</v>
      </c>
      <c r="AE289" t="str">
        <f>PROPER(TRIM(AB289))</f>
        <v>Cancelled</v>
      </c>
      <c r="AS289" t="str">
        <f t="shared" si="6"/>
        <v/>
      </c>
    </row>
    <row r="290" spans="1:45">
      <c r="A290" t="s">
        <v>968</v>
      </c>
      <c r="B290" s="7">
        <v>45467</v>
      </c>
      <c r="C290" s="4">
        <v>45467</v>
      </c>
      <c r="D290">
        <f>C290-B290</f>
        <v>0</v>
      </c>
      <c r="E290" t="str">
        <f>TEXT(B290,"mmmm")</f>
        <v>June</v>
      </c>
      <c r="F290">
        <f>YEAR(B290)</f>
        <v>2024</v>
      </c>
      <c r="G290" t="s">
        <v>969</v>
      </c>
      <c r="H290" t="s">
        <v>141</v>
      </c>
      <c r="I290" t="s">
        <v>37</v>
      </c>
      <c r="J290" t="s">
        <v>38</v>
      </c>
      <c r="K290" t="s">
        <v>145</v>
      </c>
      <c r="L290" t="s">
        <v>146</v>
      </c>
      <c r="M290" t="s">
        <v>28</v>
      </c>
      <c r="N290" t="s">
        <v>153</v>
      </c>
      <c r="O290" t="s">
        <v>970</v>
      </c>
      <c r="P290" t="s">
        <v>44</v>
      </c>
      <c r="Q290">
        <v>2</v>
      </c>
      <c r="R290">
        <v>4359.8999999999996</v>
      </c>
      <c r="S290">
        <v>0.15</v>
      </c>
      <c r="T290" s="12">
        <f>S290</f>
        <v>0.15</v>
      </c>
      <c r="U290">
        <v>7411.83</v>
      </c>
      <c r="V290">
        <f>Q290*R290*(1-S290)</f>
        <v>7411.829999999999</v>
      </c>
      <c r="W290">
        <v>4904.63</v>
      </c>
      <c r="X290">
        <v>2507.1999999999998</v>
      </c>
      <c r="Y290">
        <f>V290-W290</f>
        <v>2507.1999999999989</v>
      </c>
      <c r="Z290" s="12">
        <f>Y290/V290</f>
        <v>0.3382700358750807</v>
      </c>
      <c r="AA290" t="s">
        <v>32</v>
      </c>
      <c r="AB290" t="s">
        <v>33</v>
      </c>
      <c r="AC290" s="14" t="s">
        <v>2794</v>
      </c>
      <c r="AD290" t="s">
        <v>2782</v>
      </c>
      <c r="AE290" t="str">
        <f>PROPER(TRIM(AB290))</f>
        <v>Completed</v>
      </c>
      <c r="AS290" t="str">
        <f t="shared" si="6"/>
        <v/>
      </c>
    </row>
    <row r="291" spans="1:45">
      <c r="A291" t="s">
        <v>971</v>
      </c>
      <c r="B291" s="7">
        <v>45827</v>
      </c>
      <c r="C291" s="4">
        <v>45835</v>
      </c>
      <c r="D291">
        <f>C291-B291</f>
        <v>8</v>
      </c>
      <c r="E291" t="str">
        <f>TEXT(B291,"mmmm")</f>
        <v>June</v>
      </c>
      <c r="F291">
        <f>YEAR(B291)</f>
        <v>2025</v>
      </c>
      <c r="G291" t="s">
        <v>972</v>
      </c>
      <c r="H291" t="s">
        <v>23</v>
      </c>
      <c r="I291" t="s">
        <v>95</v>
      </c>
      <c r="J291" t="s">
        <v>54</v>
      </c>
      <c r="K291" t="s">
        <v>247</v>
      </c>
      <c r="L291" t="s">
        <v>248</v>
      </c>
      <c r="M291" t="s">
        <v>41</v>
      </c>
      <c r="N291" t="s">
        <v>158</v>
      </c>
      <c r="O291" t="s">
        <v>973</v>
      </c>
      <c r="P291" t="s">
        <v>50</v>
      </c>
      <c r="Q291">
        <v>2</v>
      </c>
      <c r="R291">
        <v>4346.6899999999996</v>
      </c>
      <c r="S291">
        <v>0.05</v>
      </c>
      <c r="T291" s="12">
        <f>S291</f>
        <v>0.05</v>
      </c>
      <c r="U291">
        <v>8258.7099999999991</v>
      </c>
      <c r="V291">
        <f>Q291*R291*(1-S291)</f>
        <v>8258.7109999999993</v>
      </c>
      <c r="W291">
        <v>7018.97</v>
      </c>
      <c r="X291">
        <v>1239.74</v>
      </c>
      <c r="Y291">
        <f>V291-W291</f>
        <v>1239.7409999999991</v>
      </c>
      <c r="Z291" s="12">
        <f>Y291/V291</f>
        <v>0.15011313508851432</v>
      </c>
      <c r="AA291" t="s">
        <v>32</v>
      </c>
      <c r="AB291" t="s">
        <v>33</v>
      </c>
      <c r="AC291" s="14" t="s">
        <v>2794</v>
      </c>
      <c r="AD291" t="s">
        <v>2782</v>
      </c>
      <c r="AE291" t="str">
        <f>PROPER(TRIM(AB291))</f>
        <v>Completed</v>
      </c>
      <c r="AS291" t="str">
        <f t="shared" si="6"/>
        <v/>
      </c>
    </row>
    <row r="292" spans="1:45">
      <c r="A292" t="s">
        <v>974</v>
      </c>
      <c r="B292" s="7">
        <v>45891</v>
      </c>
      <c r="C292" s="4">
        <v>45895</v>
      </c>
      <c r="D292">
        <f>C292-B292</f>
        <v>4</v>
      </c>
      <c r="E292" t="str">
        <f>TEXT(B292,"mmmm")</f>
        <v>August</v>
      </c>
      <c r="F292">
        <f>YEAR(B292)</f>
        <v>2025</v>
      </c>
      <c r="G292" t="s">
        <v>975</v>
      </c>
      <c r="H292" t="s">
        <v>162</v>
      </c>
      <c r="I292" t="s">
        <v>95</v>
      </c>
      <c r="J292" t="s">
        <v>38</v>
      </c>
      <c r="K292" t="s">
        <v>228</v>
      </c>
      <c r="L292" t="s">
        <v>229</v>
      </c>
      <c r="M292" t="s">
        <v>41</v>
      </c>
      <c r="N292" t="s">
        <v>42</v>
      </c>
      <c r="O292" t="s">
        <v>976</v>
      </c>
      <c r="P292" t="s">
        <v>59</v>
      </c>
      <c r="Q292">
        <v>1</v>
      </c>
      <c r="R292">
        <v>1842.63</v>
      </c>
      <c r="S292">
        <v>0.1</v>
      </c>
      <c r="T292" s="12">
        <f>S292</f>
        <v>0.1</v>
      </c>
      <c r="U292">
        <v>1658.37</v>
      </c>
      <c r="V292">
        <f>Q292*R292*(1-S292)</f>
        <v>1658.3670000000002</v>
      </c>
      <c r="W292">
        <v>971.12</v>
      </c>
      <c r="X292">
        <v>687.25</v>
      </c>
      <c r="Y292">
        <f>V292-W292</f>
        <v>687.24700000000018</v>
      </c>
      <c r="Z292" s="12">
        <f>Y292/V292</f>
        <v>0.41441188832146331</v>
      </c>
      <c r="AA292" t="s">
        <v>32</v>
      </c>
      <c r="AB292" t="s">
        <v>33</v>
      </c>
      <c r="AC292" s="14" t="s">
        <v>2794</v>
      </c>
      <c r="AD292" t="s">
        <v>2782</v>
      </c>
      <c r="AE292" t="str">
        <f>PROPER(TRIM(AB292))</f>
        <v>Completed</v>
      </c>
      <c r="AS292" t="str">
        <f t="shared" si="6"/>
        <v/>
      </c>
    </row>
    <row r="293" spans="1:45">
      <c r="A293" t="s">
        <v>977</v>
      </c>
      <c r="B293" s="7">
        <v>45416</v>
      </c>
      <c r="C293" s="4">
        <v>45392</v>
      </c>
      <c r="D293" s="10">
        <f>C293-B293</f>
        <v>-24</v>
      </c>
      <c r="E293" t="str">
        <f>TEXT(B293,"mmmm")</f>
        <v>May</v>
      </c>
      <c r="F293">
        <f>YEAR(B293)</f>
        <v>2024</v>
      </c>
      <c r="G293" t="s">
        <v>978</v>
      </c>
      <c r="H293" t="s">
        <v>114</v>
      </c>
      <c r="I293" t="s">
        <v>95</v>
      </c>
      <c r="J293" t="s">
        <v>25</v>
      </c>
      <c r="K293" t="s">
        <v>26</v>
      </c>
      <c r="L293" t="s">
        <v>27</v>
      </c>
      <c r="M293" t="s">
        <v>28</v>
      </c>
      <c r="N293" t="s">
        <v>153</v>
      </c>
      <c r="O293" t="s">
        <v>979</v>
      </c>
      <c r="P293" t="s">
        <v>59</v>
      </c>
      <c r="Q293">
        <v>4</v>
      </c>
      <c r="R293">
        <v>3228.66</v>
      </c>
      <c r="S293">
        <v>0.25</v>
      </c>
      <c r="T293" s="12">
        <f>S293</f>
        <v>0.25</v>
      </c>
      <c r="U293">
        <v>9685.98</v>
      </c>
      <c r="V293">
        <f>Q293*R293*(1-S293)</f>
        <v>9685.98</v>
      </c>
      <c r="W293">
        <v>7730.04</v>
      </c>
      <c r="X293">
        <v>1955.94</v>
      </c>
      <c r="Y293">
        <f>V293-W293</f>
        <v>1955.9399999999996</v>
      </c>
      <c r="Z293" s="12">
        <f>Y293/V293</f>
        <v>0.20193516815025425</v>
      </c>
      <c r="AA293" t="s">
        <v>32</v>
      </c>
      <c r="AB293" t="s">
        <v>33</v>
      </c>
      <c r="AC293" s="10" t="s">
        <v>2792</v>
      </c>
      <c r="AD293" t="s">
        <v>2782</v>
      </c>
      <c r="AE293" t="str">
        <f>PROPER(TRIM(AB293))</f>
        <v>Completed</v>
      </c>
      <c r="AS293" t="str">
        <f t="shared" si="6"/>
        <v/>
      </c>
    </row>
    <row r="294" spans="1:45">
      <c r="A294" t="s">
        <v>980</v>
      </c>
      <c r="B294" s="7">
        <v>45716</v>
      </c>
      <c r="C294" s="4">
        <v>45719</v>
      </c>
      <c r="D294">
        <f>C294-B294</f>
        <v>3</v>
      </c>
      <c r="E294" t="str">
        <f>TEXT(B294,"mmmm")</f>
        <v>February</v>
      </c>
      <c r="F294">
        <f>YEAR(B294)</f>
        <v>2025</v>
      </c>
      <c r="G294" t="s">
        <v>981</v>
      </c>
      <c r="H294" t="s">
        <v>264</v>
      </c>
      <c r="I294" t="s">
        <v>95</v>
      </c>
      <c r="J294" t="s">
        <v>25</v>
      </c>
      <c r="K294" t="s">
        <v>236</v>
      </c>
      <c r="L294" t="s">
        <v>237</v>
      </c>
      <c r="M294" t="s">
        <v>28</v>
      </c>
      <c r="N294" t="s">
        <v>48</v>
      </c>
      <c r="O294" t="s">
        <v>982</v>
      </c>
      <c r="P294" t="s">
        <v>44</v>
      </c>
      <c r="Q294">
        <v>9</v>
      </c>
      <c r="R294">
        <v>3748.95</v>
      </c>
      <c r="S294">
        <v>0</v>
      </c>
      <c r="T294" s="12">
        <f>S294</f>
        <v>0</v>
      </c>
      <c r="U294">
        <v>33740.550000000003</v>
      </c>
      <c r="V294">
        <f>Q294*R294*(1-S294)</f>
        <v>33740.549999999996</v>
      </c>
      <c r="W294">
        <v>24621.89</v>
      </c>
      <c r="X294">
        <v>9118.66</v>
      </c>
      <c r="Y294">
        <f>V294-W294</f>
        <v>9118.6599999999962</v>
      </c>
      <c r="Z294" s="12">
        <f>Y294/V294</f>
        <v>0.2702581908119458</v>
      </c>
      <c r="AA294" t="s">
        <v>111</v>
      </c>
      <c r="AB294" t="s">
        <v>68</v>
      </c>
      <c r="AC294" s="14" t="s">
        <v>2794</v>
      </c>
      <c r="AD294" t="s">
        <v>2782</v>
      </c>
      <c r="AE294" t="str">
        <f>PROPER(TRIM(AB294))</f>
        <v>Cancelled</v>
      </c>
      <c r="AS294" t="str">
        <f t="shared" si="6"/>
        <v/>
      </c>
    </row>
    <row r="295" spans="1:45">
      <c r="A295" t="s">
        <v>983</v>
      </c>
      <c r="B295" s="7">
        <v>45476</v>
      </c>
      <c r="C295" s="4">
        <v>45362</v>
      </c>
      <c r="D295" s="10">
        <f>C295-B295</f>
        <v>-114</v>
      </c>
      <c r="E295" t="str">
        <f>TEXT(B295,"mmmm")</f>
        <v>July</v>
      </c>
      <c r="F295">
        <f>YEAR(B295)</f>
        <v>2024</v>
      </c>
      <c r="G295" t="s">
        <v>984</v>
      </c>
      <c r="H295" t="s">
        <v>53</v>
      </c>
      <c r="I295" t="s">
        <v>95</v>
      </c>
      <c r="J295" t="s">
        <v>54</v>
      </c>
      <c r="K295" t="s">
        <v>55</v>
      </c>
      <c r="L295" t="s">
        <v>56</v>
      </c>
      <c r="M295" t="s">
        <v>74</v>
      </c>
      <c r="N295" t="s">
        <v>171</v>
      </c>
      <c r="O295" t="s">
        <v>985</v>
      </c>
      <c r="P295" t="s">
        <v>50</v>
      </c>
      <c r="Q295">
        <v>2</v>
      </c>
      <c r="R295">
        <v>4401.51</v>
      </c>
      <c r="S295">
        <v>0.65</v>
      </c>
      <c r="T295" s="13">
        <f>S295</f>
        <v>0.65</v>
      </c>
      <c r="U295">
        <v>8362.8700000000008</v>
      </c>
      <c r="V295">
        <f>Q295*R295*(1-S295)</f>
        <v>3081.0569999999998</v>
      </c>
      <c r="W295">
        <v>6541.04</v>
      </c>
      <c r="X295">
        <v>1821.83</v>
      </c>
      <c r="Y295">
        <f>V295-W295</f>
        <v>-3459.9830000000002</v>
      </c>
      <c r="Z295" s="12">
        <f>Y295/V295</f>
        <v>-1.1229857156164267</v>
      </c>
      <c r="AA295" t="s">
        <v>32</v>
      </c>
      <c r="AB295" t="s">
        <v>33</v>
      </c>
      <c r="AC295" s="10" t="s">
        <v>2792</v>
      </c>
      <c r="AD295" t="s">
        <v>2782</v>
      </c>
      <c r="AE295" t="str">
        <f>PROPER(TRIM(AB295))</f>
        <v>Completed</v>
      </c>
      <c r="AS295" t="str">
        <f t="shared" si="6"/>
        <v/>
      </c>
    </row>
    <row r="296" spans="1:45">
      <c r="A296" t="s">
        <v>986</v>
      </c>
      <c r="B296" s="7">
        <v>45854</v>
      </c>
      <c r="C296" s="4">
        <v>45860</v>
      </c>
      <c r="D296">
        <f>C296-B296</f>
        <v>6</v>
      </c>
      <c r="E296" t="str">
        <f>TEXT(B296,"mmmm")</f>
        <v>July</v>
      </c>
      <c r="F296">
        <f>YEAR(B296)</f>
        <v>2025</v>
      </c>
      <c r="G296" t="s">
        <v>987</v>
      </c>
      <c r="H296" t="s">
        <v>114</v>
      </c>
      <c r="I296" t="s">
        <v>24</v>
      </c>
      <c r="J296" t="s">
        <v>38</v>
      </c>
      <c r="K296" t="s">
        <v>39</v>
      </c>
      <c r="L296" t="s">
        <v>40</v>
      </c>
      <c r="M296" t="s">
        <v>74</v>
      </c>
      <c r="N296" t="s">
        <v>171</v>
      </c>
      <c r="O296" t="s">
        <v>988</v>
      </c>
      <c r="P296" t="s">
        <v>31</v>
      </c>
      <c r="Q296">
        <v>6</v>
      </c>
      <c r="R296">
        <v>4159.33</v>
      </c>
      <c r="S296">
        <v>0.25</v>
      </c>
      <c r="T296" s="12">
        <f>S296</f>
        <v>0.25</v>
      </c>
      <c r="U296">
        <v>18716.990000000002</v>
      </c>
      <c r="V296">
        <f>Q296*R296*(1-S296)</f>
        <v>18716.985000000001</v>
      </c>
      <c r="W296">
        <v>12282.43</v>
      </c>
      <c r="X296">
        <v>6434.56</v>
      </c>
      <c r="Y296">
        <f>V296-W296</f>
        <v>6434.5550000000003</v>
      </c>
      <c r="Z296" s="12">
        <f>Y296/V296</f>
        <v>0.34378159730319813</v>
      </c>
      <c r="AA296" t="s">
        <v>32</v>
      </c>
      <c r="AB296" t="s">
        <v>103</v>
      </c>
      <c r="AC296" s="14" t="s">
        <v>2794</v>
      </c>
      <c r="AD296" t="s">
        <v>2782</v>
      </c>
      <c r="AE296" t="str">
        <f>PROPER(TRIM(AB296))</f>
        <v>Returned</v>
      </c>
      <c r="AS296" t="str">
        <f t="shared" si="6"/>
        <v/>
      </c>
    </row>
    <row r="297" spans="1:45">
      <c r="A297" t="s">
        <v>989</v>
      </c>
      <c r="B297" s="7">
        <v>45833</v>
      </c>
      <c r="C297" s="4">
        <v>45836</v>
      </c>
      <c r="D297">
        <f>C297-B297</f>
        <v>3</v>
      </c>
      <c r="E297" t="str">
        <f>TEXT(B297,"mmmm")</f>
        <v>June</v>
      </c>
      <c r="F297">
        <f>YEAR(B297)</f>
        <v>2025</v>
      </c>
      <c r="G297" t="s">
        <v>990</v>
      </c>
      <c r="H297" t="s">
        <v>89</v>
      </c>
      <c r="I297" t="s">
        <v>37</v>
      </c>
      <c r="J297" t="s">
        <v>38</v>
      </c>
      <c r="K297" t="s">
        <v>166</v>
      </c>
      <c r="L297" t="s">
        <v>167</v>
      </c>
      <c r="M297" t="s">
        <v>28</v>
      </c>
      <c r="N297" t="s">
        <v>153</v>
      </c>
      <c r="O297" t="s">
        <v>991</v>
      </c>
      <c r="P297" t="s">
        <v>59</v>
      </c>
      <c r="Q297">
        <v>3</v>
      </c>
      <c r="R297">
        <v>3476.05</v>
      </c>
      <c r="S297">
        <v>0.1</v>
      </c>
      <c r="T297" s="12">
        <f>S297</f>
        <v>0.1</v>
      </c>
      <c r="U297">
        <v>9385.34</v>
      </c>
      <c r="V297">
        <f>Q297*R297*(1-S297)</f>
        <v>9385.3350000000009</v>
      </c>
      <c r="W297">
        <v>5828.54</v>
      </c>
      <c r="X297">
        <v>3556.8</v>
      </c>
      <c r="Y297">
        <f>V297-W297</f>
        <v>3556.795000000001</v>
      </c>
      <c r="Z297" s="12">
        <f>Y297/V297</f>
        <v>0.37897368607513748</v>
      </c>
      <c r="AA297" t="s">
        <v>32</v>
      </c>
      <c r="AB297" t="s">
        <v>33</v>
      </c>
      <c r="AC297" s="14" t="s">
        <v>2794</v>
      </c>
      <c r="AD297" t="s">
        <v>2782</v>
      </c>
      <c r="AE297" t="str">
        <f>PROPER(TRIM(AB297))</f>
        <v>Completed</v>
      </c>
      <c r="AS297" t="str">
        <f t="shared" si="6"/>
        <v/>
      </c>
    </row>
    <row r="298" spans="1:45">
      <c r="A298" t="s">
        <v>992</v>
      </c>
      <c r="B298" s="7">
        <v>45801</v>
      </c>
      <c r="C298" s="4">
        <v>45803</v>
      </c>
      <c r="D298">
        <f>C298-B298</f>
        <v>2</v>
      </c>
      <c r="E298" t="str">
        <f>TEXT(B298,"mmmm")</f>
        <v>May</v>
      </c>
      <c r="F298">
        <f>YEAR(B298)</f>
        <v>2025</v>
      </c>
      <c r="G298" t="s">
        <v>993</v>
      </c>
      <c r="H298" t="s">
        <v>89</v>
      </c>
      <c r="I298" t="s">
        <v>95</v>
      </c>
      <c r="J298" t="s">
        <v>25</v>
      </c>
      <c r="K298" t="s">
        <v>236</v>
      </c>
      <c r="L298" t="s">
        <v>237</v>
      </c>
      <c r="M298" t="s">
        <v>41</v>
      </c>
      <c r="N298" t="s">
        <v>57</v>
      </c>
      <c r="O298" t="s">
        <v>994</v>
      </c>
      <c r="P298" t="s">
        <v>44</v>
      </c>
      <c r="Q298">
        <v>6</v>
      </c>
      <c r="R298">
        <v>3495.41</v>
      </c>
      <c r="S298">
        <v>0.15</v>
      </c>
      <c r="T298" s="12">
        <f>S298</f>
        <v>0.15</v>
      </c>
      <c r="U298">
        <v>17826.59</v>
      </c>
      <c r="V298">
        <f>Q298*R298*(1-S298)</f>
        <v>17826.591</v>
      </c>
      <c r="W298">
        <v>10855.35</v>
      </c>
      <c r="X298">
        <v>6971.24</v>
      </c>
      <c r="Y298">
        <f>V298-W298</f>
        <v>6971.241</v>
      </c>
      <c r="Z298" s="12">
        <f>Y298/V298</f>
        <v>0.39105855965394615</v>
      </c>
      <c r="AA298" t="s">
        <v>32</v>
      </c>
      <c r="AB298" t="s">
        <v>33</v>
      </c>
      <c r="AC298" s="14" t="s">
        <v>2794</v>
      </c>
      <c r="AD298" t="s">
        <v>2782</v>
      </c>
      <c r="AE298" t="str">
        <f>PROPER(TRIM(AB298))</f>
        <v>Completed</v>
      </c>
      <c r="AS298" t="str">
        <f t="shared" si="6"/>
        <v/>
      </c>
    </row>
    <row r="299" spans="1:45">
      <c r="A299" t="s">
        <v>995</v>
      </c>
      <c r="B299" s="7">
        <v>45594</v>
      </c>
      <c r="C299" s="4">
        <v>45602</v>
      </c>
      <c r="D299">
        <f>C299-B299</f>
        <v>8</v>
      </c>
      <c r="E299" t="str">
        <f>TEXT(B299,"mmmm")</f>
        <v>October</v>
      </c>
      <c r="F299">
        <f>YEAR(B299)</f>
        <v>2024</v>
      </c>
      <c r="G299" t="s">
        <v>996</v>
      </c>
      <c r="H299" t="s">
        <v>132</v>
      </c>
      <c r="I299" t="s">
        <v>90</v>
      </c>
      <c r="J299" t="s">
        <v>54</v>
      </c>
      <c r="K299" t="s">
        <v>247</v>
      </c>
      <c r="L299" t="s">
        <v>248</v>
      </c>
      <c r="M299" t="s">
        <v>74</v>
      </c>
      <c r="N299" t="s">
        <v>80</v>
      </c>
      <c r="O299" t="s">
        <v>997</v>
      </c>
      <c r="P299" t="s">
        <v>44</v>
      </c>
      <c r="Q299">
        <v>6</v>
      </c>
      <c r="R299">
        <v>1169.92</v>
      </c>
      <c r="S299">
        <v>0.15</v>
      </c>
      <c r="T299" s="12">
        <f>S299</f>
        <v>0.15</v>
      </c>
      <c r="U299">
        <v>5966.59</v>
      </c>
      <c r="V299">
        <f>Q299*R299*(1-S299)</f>
        <v>5966.5920000000006</v>
      </c>
      <c r="W299">
        <v>3994.72</v>
      </c>
      <c r="X299">
        <v>1971.87</v>
      </c>
      <c r="Y299">
        <f>V299-W299</f>
        <v>1971.8720000000008</v>
      </c>
      <c r="Z299" s="12">
        <f>Y299/V299</f>
        <v>0.33048547646629778</v>
      </c>
      <c r="AA299" t="s">
        <v>32</v>
      </c>
      <c r="AB299" t="s">
        <v>33</v>
      </c>
      <c r="AC299" s="14" t="s">
        <v>2794</v>
      </c>
      <c r="AD299" t="s">
        <v>2782</v>
      </c>
      <c r="AE299" t="str">
        <f>PROPER(TRIM(AB299))</f>
        <v>Completed</v>
      </c>
      <c r="AS299" t="str">
        <f t="shared" si="6"/>
        <v/>
      </c>
    </row>
    <row r="300" spans="1:45">
      <c r="A300" t="s">
        <v>998</v>
      </c>
      <c r="B300" s="7">
        <v>45680</v>
      </c>
      <c r="C300" s="4">
        <v>45683</v>
      </c>
      <c r="D300">
        <f>C300-B300</f>
        <v>3</v>
      </c>
      <c r="E300" t="str">
        <f>TEXT(B300,"mmmm")</f>
        <v>January</v>
      </c>
      <c r="F300">
        <f>YEAR(B300)</f>
        <v>2025</v>
      </c>
      <c r="G300" t="s">
        <v>999</v>
      </c>
      <c r="H300" t="s">
        <v>47</v>
      </c>
      <c r="I300" t="s">
        <v>24</v>
      </c>
      <c r="J300" t="s">
        <v>54</v>
      </c>
      <c r="K300" t="s">
        <v>185</v>
      </c>
      <c r="L300" t="s">
        <v>186</v>
      </c>
      <c r="M300" t="s">
        <v>74</v>
      </c>
      <c r="N300" t="s">
        <v>80</v>
      </c>
      <c r="O300" t="s">
        <v>1000</v>
      </c>
      <c r="P300" t="s">
        <v>50</v>
      </c>
      <c r="Q300">
        <v>7</v>
      </c>
      <c r="R300">
        <v>348.49</v>
      </c>
      <c r="S300">
        <v>0.2</v>
      </c>
      <c r="T300" s="12">
        <f>S300</f>
        <v>0.2</v>
      </c>
      <c r="U300">
        <v>1951.54</v>
      </c>
      <c r="V300">
        <f>Q300*R300*(1-S300)</f>
        <v>1951.5440000000003</v>
      </c>
      <c r="W300">
        <v>1609.95</v>
      </c>
      <c r="X300">
        <v>341.59</v>
      </c>
      <c r="Y300">
        <f>V300-W300</f>
        <v>341.59400000000028</v>
      </c>
      <c r="Z300" s="12">
        <f>Y300/V300</f>
        <v>0.17503781621116421</v>
      </c>
      <c r="AA300" t="s">
        <v>155</v>
      </c>
      <c r="AB300" t="s">
        <v>103</v>
      </c>
      <c r="AC300" s="14" t="s">
        <v>2794</v>
      </c>
      <c r="AD300" t="s">
        <v>2782</v>
      </c>
      <c r="AE300" t="str">
        <f>PROPER(TRIM(AB300))</f>
        <v>Returned</v>
      </c>
      <c r="AS300" t="str">
        <f t="shared" si="6"/>
        <v/>
      </c>
    </row>
    <row r="301" spans="1:45">
      <c r="A301" t="s">
        <v>1001</v>
      </c>
      <c r="B301" s="7">
        <v>45602</v>
      </c>
      <c r="C301" s="4">
        <v>45608</v>
      </c>
      <c r="D301">
        <f>C301-B301</f>
        <v>6</v>
      </c>
      <c r="E301" t="str">
        <f>TEXT(B301,"mmmm")</f>
        <v>November</v>
      </c>
      <c r="F301">
        <f>YEAR(B301)</f>
        <v>2024</v>
      </c>
      <c r="G301" t="s">
        <v>1002</v>
      </c>
      <c r="H301" t="s">
        <v>118</v>
      </c>
      <c r="I301" t="s">
        <v>37</v>
      </c>
      <c r="J301" t="s">
        <v>63</v>
      </c>
      <c r="K301" t="s">
        <v>180</v>
      </c>
      <c r="L301" t="s">
        <v>181</v>
      </c>
      <c r="M301" t="s">
        <v>74</v>
      </c>
      <c r="N301" t="s">
        <v>75</v>
      </c>
      <c r="O301" t="s">
        <v>1003</v>
      </c>
      <c r="P301" t="s">
        <v>59</v>
      </c>
      <c r="Q301">
        <v>7</v>
      </c>
      <c r="R301">
        <v>1719.05</v>
      </c>
      <c r="S301">
        <v>0.1</v>
      </c>
      <c r="T301" s="12">
        <f>S301</f>
        <v>0.1</v>
      </c>
      <c r="U301">
        <v>10830.02</v>
      </c>
      <c r="V301">
        <f>Q301*R301*(1-S301)</f>
        <v>10830.015000000001</v>
      </c>
      <c r="W301">
        <v>7055.31</v>
      </c>
      <c r="X301">
        <v>3774.71</v>
      </c>
      <c r="Y301">
        <f>V301-W301</f>
        <v>3774.7050000000008</v>
      </c>
      <c r="Z301" s="12">
        <f>Y301/V301</f>
        <v>0.34854106850267524</v>
      </c>
      <c r="AA301" t="s">
        <v>32</v>
      </c>
      <c r="AB301" t="s">
        <v>33</v>
      </c>
      <c r="AC301" s="14" t="s">
        <v>2794</v>
      </c>
      <c r="AD301" t="s">
        <v>2782</v>
      </c>
      <c r="AE301" t="str">
        <f>PROPER(TRIM(AB301))</f>
        <v>Completed</v>
      </c>
      <c r="AS301" t="str">
        <f t="shared" si="6"/>
        <v/>
      </c>
    </row>
    <row r="302" spans="1:45">
      <c r="A302" t="s">
        <v>1004</v>
      </c>
      <c r="B302" s="7">
        <v>45397</v>
      </c>
      <c r="C302" s="4">
        <v>45405</v>
      </c>
      <c r="D302">
        <f>C302-B302</f>
        <v>8</v>
      </c>
      <c r="E302" t="str">
        <f>TEXT(B302,"mmmm")</f>
        <v>April</v>
      </c>
      <c r="F302">
        <f>YEAR(B302)</f>
        <v>2024</v>
      </c>
      <c r="G302" t="s">
        <v>1005</v>
      </c>
      <c r="H302" t="s">
        <v>162</v>
      </c>
      <c r="I302" t="s">
        <v>37</v>
      </c>
      <c r="J302" t="s">
        <v>25</v>
      </c>
      <c r="K302" t="s">
        <v>122</v>
      </c>
      <c r="L302" t="s">
        <v>123</v>
      </c>
      <c r="M302" t="s">
        <v>74</v>
      </c>
      <c r="N302" t="s">
        <v>75</v>
      </c>
      <c r="O302" t="s">
        <v>1006</v>
      </c>
      <c r="P302" t="s">
        <v>31</v>
      </c>
      <c r="Q302">
        <v>9</v>
      </c>
      <c r="R302">
        <v>3893.74</v>
      </c>
      <c r="S302">
        <v>0.1</v>
      </c>
      <c r="T302" s="12">
        <f>S302</f>
        <v>0.1</v>
      </c>
      <c r="U302">
        <v>31539.29</v>
      </c>
      <c r="V302">
        <f>Q302*R302*(1-S302)</f>
        <v>31539.293999999998</v>
      </c>
      <c r="W302">
        <v>22100.14</v>
      </c>
      <c r="X302">
        <v>9439.15</v>
      </c>
      <c r="Y302">
        <f>V302-W302</f>
        <v>9439.1539999999986</v>
      </c>
      <c r="Z302" s="12">
        <f>Y302/V302</f>
        <v>0.29928234918638313</v>
      </c>
      <c r="AA302" t="s">
        <v>32</v>
      </c>
      <c r="AB302" t="s">
        <v>33</v>
      </c>
      <c r="AC302" s="14" t="s">
        <v>2794</v>
      </c>
      <c r="AD302" t="s">
        <v>2782</v>
      </c>
      <c r="AE302" t="str">
        <f>PROPER(TRIM(AB302))</f>
        <v>Completed</v>
      </c>
      <c r="AS302" t="str">
        <f t="shared" si="6"/>
        <v/>
      </c>
    </row>
    <row r="303" spans="1:45">
      <c r="A303" t="s">
        <v>1007</v>
      </c>
      <c r="B303" s="7">
        <v>45805</v>
      </c>
      <c r="C303" s="4">
        <v>45809</v>
      </c>
      <c r="D303">
        <f>C303-B303</f>
        <v>4</v>
      </c>
      <c r="E303" t="str">
        <f>TEXT(B303,"mmmm")</f>
        <v>May</v>
      </c>
      <c r="F303">
        <f>YEAR(B303)</f>
        <v>2025</v>
      </c>
      <c r="G303" t="s">
        <v>1008</v>
      </c>
      <c r="H303" t="s">
        <v>47</v>
      </c>
      <c r="I303" t="s">
        <v>95</v>
      </c>
      <c r="J303" t="s">
        <v>38</v>
      </c>
      <c r="K303" t="s">
        <v>145</v>
      </c>
      <c r="L303" t="s">
        <v>146</v>
      </c>
      <c r="M303" t="s">
        <v>74</v>
      </c>
      <c r="N303" t="s">
        <v>171</v>
      </c>
      <c r="O303" t="s">
        <v>1009</v>
      </c>
      <c r="P303" t="s">
        <v>44</v>
      </c>
      <c r="Q303">
        <v>4</v>
      </c>
      <c r="R303">
        <v>1654.11</v>
      </c>
      <c r="S303">
        <v>0.05</v>
      </c>
      <c r="T303" s="12">
        <f>S303</f>
        <v>0.05</v>
      </c>
      <c r="U303">
        <v>6285.62</v>
      </c>
      <c r="V303">
        <f>Q303*R303*(1-S303)</f>
        <v>6285.6179999999995</v>
      </c>
      <c r="W303">
        <v>3705.38</v>
      </c>
      <c r="X303">
        <v>2580.2399999999998</v>
      </c>
      <c r="Y303">
        <f>V303-W303</f>
        <v>2580.2379999999994</v>
      </c>
      <c r="Z303" s="12">
        <f>Y303/V303</f>
        <v>0.41049869718458865</v>
      </c>
      <c r="AA303" t="s">
        <v>32</v>
      </c>
      <c r="AB303" t="s">
        <v>33</v>
      </c>
      <c r="AC303" s="14" t="s">
        <v>2794</v>
      </c>
      <c r="AD303" t="s">
        <v>2782</v>
      </c>
      <c r="AE303" t="str">
        <f>PROPER(TRIM(AB303))</f>
        <v>Completed</v>
      </c>
      <c r="AS303" t="str">
        <f t="shared" si="6"/>
        <v/>
      </c>
    </row>
    <row r="304" spans="1:45">
      <c r="A304" t="s">
        <v>1010</v>
      </c>
      <c r="B304" s="7">
        <v>45812</v>
      </c>
      <c r="C304" s="4">
        <v>45820</v>
      </c>
      <c r="D304">
        <f>C304-B304</f>
        <v>8</v>
      </c>
      <c r="E304" t="str">
        <f>TEXT(B304,"mmmm")</f>
        <v>June</v>
      </c>
      <c r="F304">
        <f>YEAR(B304)</f>
        <v>2025</v>
      </c>
      <c r="G304" t="s">
        <v>1011</v>
      </c>
      <c r="H304" t="s">
        <v>79</v>
      </c>
      <c r="I304" t="s">
        <v>24</v>
      </c>
      <c r="J304" t="s">
        <v>63</v>
      </c>
      <c r="K304" t="s">
        <v>190</v>
      </c>
      <c r="L304" t="s">
        <v>191</v>
      </c>
      <c r="M304" t="s">
        <v>28</v>
      </c>
      <c r="N304" t="s">
        <v>124</v>
      </c>
      <c r="O304" t="s">
        <v>1012</v>
      </c>
      <c r="P304" t="s">
        <v>44</v>
      </c>
      <c r="Q304">
        <v>2</v>
      </c>
      <c r="R304">
        <v>2703.28</v>
      </c>
      <c r="S304">
        <v>0.25</v>
      </c>
      <c r="T304" s="12">
        <f>S304</f>
        <v>0.25</v>
      </c>
      <c r="U304">
        <v>4054.92</v>
      </c>
      <c r="V304">
        <f>Q304*R304*(1-S304)</f>
        <v>4054.92</v>
      </c>
      <c r="W304">
        <v>2424.83</v>
      </c>
      <c r="X304">
        <v>1630.09</v>
      </c>
      <c r="Y304">
        <f>V304-W304</f>
        <v>1630.0900000000001</v>
      </c>
      <c r="Z304" s="12">
        <f>Y304/V304</f>
        <v>0.40200299882611745</v>
      </c>
      <c r="AA304" t="s">
        <v>32</v>
      </c>
      <c r="AB304" t="s">
        <v>33</v>
      </c>
      <c r="AC304" s="14" t="s">
        <v>2794</v>
      </c>
      <c r="AD304" t="s">
        <v>2782</v>
      </c>
      <c r="AE304" t="str">
        <f>PROPER(TRIM(AB304))</f>
        <v>Completed</v>
      </c>
      <c r="AS304" t="str">
        <f t="shared" si="6"/>
        <v/>
      </c>
    </row>
    <row r="305" spans="1:45">
      <c r="A305" t="s">
        <v>1013</v>
      </c>
      <c r="B305" s="7">
        <v>45466</v>
      </c>
      <c r="C305" s="4">
        <v>45471</v>
      </c>
      <c r="D305">
        <f>C305-B305</f>
        <v>5</v>
      </c>
      <c r="E305" t="str">
        <f>TEXT(B305,"mmmm")</f>
        <v>June</v>
      </c>
      <c r="F305">
        <f>YEAR(B305)</f>
        <v>2024</v>
      </c>
      <c r="G305" t="s">
        <v>1014</v>
      </c>
      <c r="H305" t="s">
        <v>162</v>
      </c>
      <c r="I305" t="s">
        <v>95</v>
      </c>
      <c r="J305" t="s">
        <v>63</v>
      </c>
      <c r="K305" t="s">
        <v>180</v>
      </c>
      <c r="L305" t="s">
        <v>181</v>
      </c>
      <c r="M305" t="s">
        <v>41</v>
      </c>
      <c r="N305" t="s">
        <v>66</v>
      </c>
      <c r="O305" t="s">
        <v>1015</v>
      </c>
      <c r="P305" t="s">
        <v>59</v>
      </c>
      <c r="Q305">
        <v>2</v>
      </c>
      <c r="R305">
        <v>1313.14</v>
      </c>
      <c r="S305">
        <v>0.1</v>
      </c>
      <c r="T305" s="12">
        <f>S305</f>
        <v>0.1</v>
      </c>
      <c r="U305">
        <v>2363.65</v>
      </c>
      <c r="V305">
        <f>Q305*R305*(1-S305)</f>
        <v>2363.652</v>
      </c>
      <c r="W305">
        <v>1876.1</v>
      </c>
      <c r="X305">
        <v>487.55</v>
      </c>
      <c r="Y305">
        <f>V305-W305</f>
        <v>487.55200000000013</v>
      </c>
      <c r="Z305" s="12">
        <f>Y305/V305</f>
        <v>0.20627063544041174</v>
      </c>
      <c r="AA305" t="s">
        <v>111</v>
      </c>
      <c r="AB305" t="s">
        <v>103</v>
      </c>
      <c r="AC305" s="14" t="s">
        <v>2794</v>
      </c>
      <c r="AD305" t="s">
        <v>2782</v>
      </c>
      <c r="AE305" t="str">
        <f>PROPER(TRIM(AB305))</f>
        <v>Returned</v>
      </c>
      <c r="AS305" t="str">
        <f t="shared" si="6"/>
        <v/>
      </c>
    </row>
    <row r="306" spans="1:45">
      <c r="A306" t="s">
        <v>1016</v>
      </c>
      <c r="B306" s="7">
        <v>45446</v>
      </c>
      <c r="C306" s="4">
        <v>45364</v>
      </c>
      <c r="D306" s="10">
        <f>C306-B306</f>
        <v>-82</v>
      </c>
      <c r="E306" t="str">
        <f>TEXT(B306,"mmmm")</f>
        <v>June</v>
      </c>
      <c r="F306">
        <f>YEAR(B306)</f>
        <v>2024</v>
      </c>
      <c r="G306" t="s">
        <v>1017</v>
      </c>
      <c r="H306" t="s">
        <v>23</v>
      </c>
      <c r="I306" t="s">
        <v>24</v>
      </c>
      <c r="J306" t="s">
        <v>25</v>
      </c>
      <c r="K306" t="s">
        <v>122</v>
      </c>
      <c r="L306" t="s">
        <v>123</v>
      </c>
      <c r="M306" t="s">
        <v>41</v>
      </c>
      <c r="N306" t="s">
        <v>57</v>
      </c>
      <c r="O306" t="s">
        <v>1018</v>
      </c>
      <c r="P306" t="s">
        <v>59</v>
      </c>
      <c r="Q306">
        <v>6</v>
      </c>
      <c r="R306">
        <v>2403.0500000000002</v>
      </c>
      <c r="S306">
        <v>0.1</v>
      </c>
      <c r="T306" s="12">
        <f>S306</f>
        <v>0.1</v>
      </c>
      <c r="U306">
        <v>12976.47</v>
      </c>
      <c r="V306">
        <f>Q306*R306*(1-S306)</f>
        <v>12976.470000000001</v>
      </c>
      <c r="W306">
        <v>10019.98</v>
      </c>
      <c r="X306">
        <v>2956.49</v>
      </c>
      <c r="Y306">
        <f>V306-W306</f>
        <v>2956.4900000000016</v>
      </c>
      <c r="Z306" s="12">
        <f>Y306/V306</f>
        <v>0.22783468847845378</v>
      </c>
      <c r="AA306" t="s">
        <v>32</v>
      </c>
      <c r="AB306" t="s">
        <v>33</v>
      </c>
      <c r="AC306" s="10" t="s">
        <v>2792</v>
      </c>
      <c r="AD306" t="s">
        <v>2782</v>
      </c>
      <c r="AE306" t="str">
        <f>PROPER(TRIM(AB306))</f>
        <v>Completed</v>
      </c>
      <c r="AS306" t="str">
        <f t="shared" si="6"/>
        <v/>
      </c>
    </row>
    <row r="307" spans="1:45">
      <c r="A307" t="s">
        <v>1019</v>
      </c>
      <c r="B307" s="7">
        <v>45413</v>
      </c>
      <c r="C307" s="4">
        <v>45327</v>
      </c>
      <c r="D307" s="10">
        <f>C307-B307</f>
        <v>-86</v>
      </c>
      <c r="E307" t="str">
        <f>TEXT(B307,"mmmm")</f>
        <v>May</v>
      </c>
      <c r="F307">
        <f>YEAR(B307)</f>
        <v>2024</v>
      </c>
      <c r="G307" t="s">
        <v>1020</v>
      </c>
      <c r="H307" t="s">
        <v>62</v>
      </c>
      <c r="I307" t="s">
        <v>24</v>
      </c>
      <c r="J307" t="s">
        <v>38</v>
      </c>
      <c r="K307" t="s">
        <v>166</v>
      </c>
      <c r="L307" t="s">
        <v>167</v>
      </c>
      <c r="M307" t="s">
        <v>41</v>
      </c>
      <c r="N307" t="s">
        <v>66</v>
      </c>
      <c r="O307" t="s">
        <v>1021</v>
      </c>
      <c r="P307" t="s">
        <v>50</v>
      </c>
      <c r="Q307">
        <v>4</v>
      </c>
      <c r="R307">
        <v>4156.0600000000004</v>
      </c>
      <c r="S307">
        <v>0.55000000000000004</v>
      </c>
      <c r="T307" s="12">
        <f>S307</f>
        <v>0.55000000000000004</v>
      </c>
      <c r="U307">
        <v>13299.39</v>
      </c>
      <c r="V307">
        <f>Q307*R307*(1-S307)</f>
        <v>7480.9080000000004</v>
      </c>
      <c r="W307">
        <v>9851.91</v>
      </c>
      <c r="X307">
        <v>3447.48</v>
      </c>
      <c r="Y307">
        <f>V307-W307</f>
        <v>-2371.0019999999995</v>
      </c>
      <c r="Z307" s="12">
        <f>Y307/V307</f>
        <v>-0.31694040349112695</v>
      </c>
      <c r="AA307" t="s">
        <v>32</v>
      </c>
      <c r="AB307" t="s">
        <v>68</v>
      </c>
      <c r="AC307" s="10" t="s">
        <v>2792</v>
      </c>
      <c r="AD307" t="s">
        <v>2782</v>
      </c>
      <c r="AE307" t="str">
        <f>PROPER(TRIM(AB307))</f>
        <v>Cancelled</v>
      </c>
      <c r="AS307" t="str">
        <f t="shared" si="6"/>
        <v/>
      </c>
    </row>
    <row r="308" spans="1:45">
      <c r="A308" t="s">
        <v>1022</v>
      </c>
      <c r="B308" s="7">
        <v>45708</v>
      </c>
      <c r="C308" s="4">
        <v>45711</v>
      </c>
      <c r="D308">
        <f>C308-B308</f>
        <v>3</v>
      </c>
      <c r="E308" t="str">
        <f>TEXT(B308,"mmmm")</f>
        <v>February</v>
      </c>
      <c r="F308">
        <f>YEAR(B308)</f>
        <v>2025</v>
      </c>
      <c r="G308" t="s">
        <v>1023</v>
      </c>
      <c r="H308" t="s">
        <v>128</v>
      </c>
      <c r="I308" t="s">
        <v>24</v>
      </c>
      <c r="J308" t="s">
        <v>25</v>
      </c>
      <c r="K308" t="s">
        <v>26</v>
      </c>
      <c r="L308" t="s">
        <v>27</v>
      </c>
      <c r="M308" t="s">
        <v>74</v>
      </c>
      <c r="N308" t="s">
        <v>171</v>
      </c>
      <c r="O308" t="s">
        <v>1024</v>
      </c>
      <c r="P308" t="s">
        <v>31</v>
      </c>
      <c r="Q308">
        <v>4</v>
      </c>
      <c r="R308">
        <v>3673.11</v>
      </c>
      <c r="S308">
        <v>0</v>
      </c>
      <c r="T308" s="12">
        <f>S308</f>
        <v>0</v>
      </c>
      <c r="U308">
        <v>14692.44</v>
      </c>
      <c r="V308">
        <f>Q308*R308*(1-S308)</f>
        <v>14692.44</v>
      </c>
      <c r="W308">
        <v>10082.19</v>
      </c>
      <c r="X308">
        <v>4610.25</v>
      </c>
      <c r="Y308">
        <f>V308-W308</f>
        <v>4610.25</v>
      </c>
      <c r="Z308" s="12">
        <f>Y308/V308</f>
        <v>0.31378382351740075</v>
      </c>
      <c r="AA308" t="s">
        <v>32</v>
      </c>
      <c r="AB308" t="s">
        <v>33</v>
      </c>
      <c r="AC308" s="14" t="s">
        <v>2794</v>
      </c>
      <c r="AD308" t="s">
        <v>2782</v>
      </c>
      <c r="AE308" t="str">
        <f>PROPER(TRIM(AB308))</f>
        <v>Completed</v>
      </c>
      <c r="AS308" t="str">
        <f t="shared" si="6"/>
        <v/>
      </c>
    </row>
    <row r="309" spans="1:45">
      <c r="A309" t="s">
        <v>1025</v>
      </c>
      <c r="B309" s="7">
        <v>45850</v>
      </c>
      <c r="C309" s="4">
        <v>45857</v>
      </c>
      <c r="D309">
        <f>C309-B309</f>
        <v>7</v>
      </c>
      <c r="E309" t="str">
        <f>TEXT(B309,"mmmm")</f>
        <v>July</v>
      </c>
      <c r="F309">
        <f>YEAR(B309)</f>
        <v>2025</v>
      </c>
      <c r="G309" t="s">
        <v>1026</v>
      </c>
      <c r="H309" t="s">
        <v>62</v>
      </c>
      <c r="I309" t="s">
        <v>90</v>
      </c>
      <c r="J309" t="s">
        <v>25</v>
      </c>
      <c r="K309" t="s">
        <v>136</v>
      </c>
      <c r="L309" t="s">
        <v>137</v>
      </c>
      <c r="M309" t="s">
        <v>41</v>
      </c>
      <c r="N309" t="s">
        <v>42</v>
      </c>
      <c r="O309" t="s">
        <v>1027</v>
      </c>
      <c r="P309" t="s">
        <v>50</v>
      </c>
      <c r="Q309">
        <v>9</v>
      </c>
      <c r="R309">
        <v>4093.04</v>
      </c>
      <c r="S309">
        <v>0.2</v>
      </c>
      <c r="T309" s="12">
        <f>S309</f>
        <v>0.2</v>
      </c>
      <c r="U309">
        <v>29469.89</v>
      </c>
      <c r="V309">
        <f>Q309*R309*(1-S309)</f>
        <v>29469.888000000003</v>
      </c>
      <c r="W309">
        <v>18935.509999999998</v>
      </c>
      <c r="X309">
        <v>10534.38</v>
      </c>
      <c r="Y309">
        <f>V309-W309</f>
        <v>10534.378000000004</v>
      </c>
      <c r="Z309" s="12">
        <f>Y309/V309</f>
        <v>0.3574624375905332</v>
      </c>
      <c r="AA309" t="s">
        <v>111</v>
      </c>
      <c r="AB309" t="s">
        <v>68</v>
      </c>
      <c r="AC309" s="14" t="s">
        <v>2794</v>
      </c>
      <c r="AD309" t="s">
        <v>2782</v>
      </c>
      <c r="AE309" t="str">
        <f>PROPER(TRIM(AB309))</f>
        <v>Cancelled</v>
      </c>
      <c r="AS309" t="str">
        <f t="shared" si="6"/>
        <v/>
      </c>
    </row>
    <row r="310" spans="1:45">
      <c r="A310" t="s">
        <v>1028</v>
      </c>
      <c r="B310" s="7">
        <v>45821</v>
      </c>
      <c r="C310" s="4">
        <v>45827</v>
      </c>
      <c r="D310">
        <f>C310-B310</f>
        <v>6</v>
      </c>
      <c r="E310" t="str">
        <f>TEXT(B310,"mmmm")</f>
        <v>June</v>
      </c>
      <c r="F310">
        <f>YEAR(B310)</f>
        <v>2025</v>
      </c>
      <c r="G310" t="s">
        <v>1029</v>
      </c>
      <c r="H310" t="s">
        <v>141</v>
      </c>
      <c r="I310" t="s">
        <v>24</v>
      </c>
      <c r="J310" t="s">
        <v>25</v>
      </c>
      <c r="K310" t="s">
        <v>26</v>
      </c>
      <c r="L310" t="s">
        <v>27</v>
      </c>
      <c r="M310" t="s">
        <v>41</v>
      </c>
      <c r="N310" t="s">
        <v>42</v>
      </c>
      <c r="O310" t="s">
        <v>1030</v>
      </c>
      <c r="P310" t="s">
        <v>50</v>
      </c>
      <c r="Q310">
        <v>4</v>
      </c>
      <c r="R310">
        <v>731.57</v>
      </c>
      <c r="S310">
        <v>0.2</v>
      </c>
      <c r="T310" s="12">
        <f>S310</f>
        <v>0.2</v>
      </c>
      <c r="U310">
        <v>2341.02</v>
      </c>
      <c r="V310">
        <f>Q310*R310*(1-S310)</f>
        <v>2341.0240000000003</v>
      </c>
      <c r="W310">
        <v>1565.49</v>
      </c>
      <c r="X310">
        <v>775.53</v>
      </c>
      <c r="Y310">
        <f>V310-W310</f>
        <v>775.53400000000033</v>
      </c>
      <c r="Z310" s="12">
        <f>Y310/V310</f>
        <v>0.33127981601213835</v>
      </c>
      <c r="AA310" t="s">
        <v>32</v>
      </c>
      <c r="AB310" t="s">
        <v>33</v>
      </c>
      <c r="AC310" s="14" t="s">
        <v>2794</v>
      </c>
      <c r="AD310" t="s">
        <v>2782</v>
      </c>
      <c r="AE310" t="str">
        <f>PROPER(TRIM(AB310))</f>
        <v>Completed</v>
      </c>
      <c r="AS310" t="str">
        <f t="shared" si="6"/>
        <v/>
      </c>
    </row>
    <row r="311" spans="1:45">
      <c r="A311" t="s">
        <v>1031</v>
      </c>
      <c r="B311" s="7">
        <v>45493</v>
      </c>
      <c r="C311" s="4">
        <v>45495</v>
      </c>
      <c r="D311">
        <f>C311-B311</f>
        <v>2</v>
      </c>
      <c r="E311" t="str">
        <f>TEXT(B311,"mmmm")</f>
        <v>July</v>
      </c>
      <c r="F311">
        <f>YEAR(B311)</f>
        <v>2024</v>
      </c>
      <c r="G311" t="s">
        <v>1032</v>
      </c>
      <c r="H311" t="s">
        <v>62</v>
      </c>
      <c r="I311" t="s">
        <v>24</v>
      </c>
      <c r="J311" t="s">
        <v>54</v>
      </c>
      <c r="K311" t="s">
        <v>247</v>
      </c>
      <c r="L311" t="s">
        <v>248</v>
      </c>
      <c r="M311" t="s">
        <v>41</v>
      </c>
      <c r="N311" t="s">
        <v>42</v>
      </c>
      <c r="O311" t="s">
        <v>1033</v>
      </c>
      <c r="P311" t="s">
        <v>50</v>
      </c>
      <c r="Q311">
        <v>7</v>
      </c>
      <c r="R311">
        <v>2060.73</v>
      </c>
      <c r="S311">
        <v>0.1</v>
      </c>
      <c r="T311" s="12">
        <f>S311</f>
        <v>0.1</v>
      </c>
      <c r="U311">
        <v>12982.6</v>
      </c>
      <c r="V311">
        <f>Q311*R311*(1-S311)</f>
        <v>12982.599</v>
      </c>
      <c r="W311">
        <v>7246.36</v>
      </c>
      <c r="X311">
        <v>5736.24</v>
      </c>
      <c r="Y311">
        <f>V311-W311</f>
        <v>5736.2390000000005</v>
      </c>
      <c r="Z311" s="12">
        <f>Y311/V311</f>
        <v>0.441840574448922</v>
      </c>
      <c r="AA311" t="s">
        <v>32</v>
      </c>
      <c r="AB311" t="s">
        <v>68</v>
      </c>
      <c r="AC311" s="14" t="s">
        <v>2794</v>
      </c>
      <c r="AD311" t="s">
        <v>2782</v>
      </c>
      <c r="AE311" t="str">
        <f>PROPER(TRIM(AB311))</f>
        <v>Cancelled</v>
      </c>
      <c r="AS311" t="str">
        <f t="shared" si="6"/>
        <v/>
      </c>
    </row>
    <row r="312" spans="1:45">
      <c r="A312" t="s">
        <v>1034</v>
      </c>
      <c r="B312" s="7">
        <v>45477</v>
      </c>
      <c r="C312" s="4">
        <v>45481</v>
      </c>
      <c r="D312">
        <f>C312-B312</f>
        <v>4</v>
      </c>
      <c r="E312" t="str">
        <f>TEXT(B312,"mmmm")</f>
        <v>July</v>
      </c>
      <c r="F312">
        <f>YEAR(B312)</f>
        <v>2024</v>
      </c>
      <c r="G312" t="s">
        <v>1035</v>
      </c>
      <c r="H312" t="s">
        <v>141</v>
      </c>
      <c r="I312" t="s">
        <v>37</v>
      </c>
      <c r="J312" t="s">
        <v>54</v>
      </c>
      <c r="K312" t="s">
        <v>247</v>
      </c>
      <c r="L312" t="s">
        <v>248</v>
      </c>
      <c r="M312" t="s">
        <v>74</v>
      </c>
      <c r="N312" t="s">
        <v>274</v>
      </c>
      <c r="O312" t="s">
        <v>1036</v>
      </c>
      <c r="P312" t="s">
        <v>50</v>
      </c>
      <c r="Q312">
        <v>8</v>
      </c>
      <c r="R312">
        <v>2034.25</v>
      </c>
      <c r="S312">
        <v>0</v>
      </c>
      <c r="T312" s="12">
        <f>S312</f>
        <v>0</v>
      </c>
      <c r="U312">
        <v>16274</v>
      </c>
      <c r="V312">
        <f>Q312*R312*(1-S312)</f>
        <v>16274</v>
      </c>
      <c r="W312">
        <v>9424.25</v>
      </c>
      <c r="X312">
        <v>6849.75</v>
      </c>
      <c r="Y312">
        <f>V312-W312</f>
        <v>6849.75</v>
      </c>
      <c r="Z312" s="12">
        <f>Y312/V312</f>
        <v>0.42090143787636719</v>
      </c>
      <c r="AA312" t="s">
        <v>32</v>
      </c>
      <c r="AB312" t="s">
        <v>33</v>
      </c>
      <c r="AC312" s="14" t="s">
        <v>2794</v>
      </c>
      <c r="AD312" t="s">
        <v>2782</v>
      </c>
      <c r="AE312" t="str">
        <f>PROPER(TRIM(AB312))</f>
        <v>Completed</v>
      </c>
      <c r="AS312" t="str">
        <f t="shared" si="6"/>
        <v/>
      </c>
    </row>
    <row r="313" spans="1:45">
      <c r="A313" t="s">
        <v>1037</v>
      </c>
      <c r="B313" s="7">
        <v>45409</v>
      </c>
      <c r="C313" s="4">
        <v>45414</v>
      </c>
      <c r="D313">
        <f>C313-B313</f>
        <v>5</v>
      </c>
      <c r="E313" t="str">
        <f>TEXT(B313,"mmmm")</f>
        <v>April</v>
      </c>
      <c r="F313">
        <f>YEAR(B313)</f>
        <v>2024</v>
      </c>
      <c r="G313" t="s">
        <v>1038</v>
      </c>
      <c r="H313" t="s">
        <v>36</v>
      </c>
      <c r="I313" t="s">
        <v>90</v>
      </c>
      <c r="J313" t="s">
        <v>54</v>
      </c>
      <c r="K313" t="s">
        <v>175</v>
      </c>
      <c r="L313" t="s">
        <v>176</v>
      </c>
      <c r="M313" t="s">
        <v>28</v>
      </c>
      <c r="N313" t="s">
        <v>153</v>
      </c>
      <c r="O313" t="s">
        <v>1039</v>
      </c>
      <c r="P313" t="s">
        <v>31</v>
      </c>
      <c r="Q313">
        <v>5</v>
      </c>
      <c r="R313">
        <v>554.04</v>
      </c>
      <c r="S313">
        <v>0.1</v>
      </c>
      <c r="T313" s="12">
        <f>S313</f>
        <v>0.1</v>
      </c>
      <c r="U313">
        <v>2493.1799999999998</v>
      </c>
      <c r="V313">
        <f>Q313*R313*(1-S313)</f>
        <v>2493.1799999999998</v>
      </c>
      <c r="W313">
        <v>1764</v>
      </c>
      <c r="X313">
        <v>729.18</v>
      </c>
      <c r="Y313">
        <f>V313-W313</f>
        <v>729.17999999999984</v>
      </c>
      <c r="Z313" s="12">
        <f>Y313/V313</f>
        <v>0.29246985777200196</v>
      </c>
      <c r="AA313" t="s">
        <v>32</v>
      </c>
      <c r="AB313" t="s">
        <v>33</v>
      </c>
      <c r="AC313" s="14" t="s">
        <v>2794</v>
      </c>
      <c r="AD313" t="s">
        <v>2782</v>
      </c>
      <c r="AE313" t="str">
        <f>PROPER(TRIM(AB313))</f>
        <v>Completed</v>
      </c>
      <c r="AS313" t="str">
        <f t="shared" si="6"/>
        <v/>
      </c>
    </row>
    <row r="314" spans="1:45">
      <c r="A314" t="s">
        <v>1040</v>
      </c>
      <c r="B314" s="7">
        <v>45504</v>
      </c>
      <c r="C314" s="4">
        <v>45508</v>
      </c>
      <c r="D314">
        <f>C314-B314</f>
        <v>4</v>
      </c>
      <c r="E314" t="str">
        <f>TEXT(B314,"mmmm")</f>
        <v>July</v>
      </c>
      <c r="F314">
        <f>YEAR(B314)</f>
        <v>2024</v>
      </c>
      <c r="G314" t="s">
        <v>1041</v>
      </c>
      <c r="H314" t="s">
        <v>23</v>
      </c>
      <c r="I314" t="s">
        <v>37</v>
      </c>
      <c r="J314" t="s">
        <v>38</v>
      </c>
      <c r="K314" t="s">
        <v>166</v>
      </c>
      <c r="L314" t="s">
        <v>167</v>
      </c>
      <c r="M314" t="s">
        <v>74</v>
      </c>
      <c r="N314" t="s">
        <v>171</v>
      </c>
      <c r="O314" t="s">
        <v>1042</v>
      </c>
      <c r="P314" t="s">
        <v>59</v>
      </c>
      <c r="Q314">
        <v>8</v>
      </c>
      <c r="R314">
        <v>2614.7399999999998</v>
      </c>
      <c r="S314">
        <v>0</v>
      </c>
      <c r="T314" s="12">
        <f>S314</f>
        <v>0</v>
      </c>
      <c r="U314">
        <v>15688.44</v>
      </c>
      <c r="V314">
        <f>Q314*R314*(1-S314)</f>
        <v>20917.919999999998</v>
      </c>
      <c r="W314">
        <v>10047.33</v>
      </c>
      <c r="X314">
        <v>5641.11</v>
      </c>
      <c r="Y314">
        <f>V314-W314</f>
        <v>10870.589999999998</v>
      </c>
      <c r="Z314" s="12">
        <f>Y314/V314</f>
        <v>0.5196783427797792</v>
      </c>
      <c r="AA314" t="s">
        <v>32</v>
      </c>
      <c r="AB314" t="s">
        <v>68</v>
      </c>
      <c r="AC314" s="14" t="s">
        <v>2794</v>
      </c>
      <c r="AD314" t="s">
        <v>2782</v>
      </c>
      <c r="AE314" t="str">
        <f>PROPER(TRIM(AB314))</f>
        <v>Cancelled</v>
      </c>
      <c r="AS314" t="str">
        <f t="shared" si="6"/>
        <v/>
      </c>
    </row>
    <row r="315" spans="1:45">
      <c r="A315" t="s">
        <v>1043</v>
      </c>
      <c r="B315" s="7">
        <v>45807</v>
      </c>
      <c r="C315" s="4">
        <v>45808</v>
      </c>
      <c r="D315">
        <f>C315-B315</f>
        <v>1</v>
      </c>
      <c r="E315" t="str">
        <f>TEXT(B315,"mmmm")</f>
        <v>May</v>
      </c>
      <c r="F315">
        <f>YEAR(B315)</f>
        <v>2025</v>
      </c>
      <c r="G315" t="s">
        <v>1044</v>
      </c>
      <c r="H315" t="s">
        <v>118</v>
      </c>
      <c r="I315" t="s">
        <v>90</v>
      </c>
      <c r="J315" t="s">
        <v>25</v>
      </c>
      <c r="K315" t="s">
        <v>136</v>
      </c>
      <c r="L315" t="s">
        <v>137</v>
      </c>
      <c r="M315" t="s">
        <v>74</v>
      </c>
      <c r="N315" t="s">
        <v>171</v>
      </c>
      <c r="O315" t="s">
        <v>1045</v>
      </c>
      <c r="P315" t="s">
        <v>50</v>
      </c>
      <c r="Q315">
        <v>8</v>
      </c>
      <c r="R315">
        <v>2081.4299999999998</v>
      </c>
      <c r="S315">
        <v>0.25</v>
      </c>
      <c r="T315" s="12">
        <f>S315</f>
        <v>0.25</v>
      </c>
      <c r="U315">
        <v>12488.58</v>
      </c>
      <c r="V315">
        <f>Q315*R315*(1-S315)</f>
        <v>12488.579999999998</v>
      </c>
      <c r="W315">
        <v>10717.4</v>
      </c>
      <c r="X315">
        <v>1771.18</v>
      </c>
      <c r="Y315">
        <f>V315-W315</f>
        <v>1771.1799999999985</v>
      </c>
      <c r="Z315" s="12">
        <f>Y315/V315</f>
        <v>0.14182397037933847</v>
      </c>
      <c r="AA315" t="s">
        <v>102</v>
      </c>
      <c r="AB315" t="s">
        <v>68</v>
      </c>
      <c r="AC315" s="14" t="s">
        <v>2794</v>
      </c>
      <c r="AD315" t="s">
        <v>2782</v>
      </c>
      <c r="AE315" t="str">
        <f>PROPER(TRIM(AB315))</f>
        <v>Cancelled</v>
      </c>
      <c r="AS315" t="str">
        <f t="shared" si="6"/>
        <v/>
      </c>
    </row>
    <row r="316" spans="1:45">
      <c r="A316" t="s">
        <v>1046</v>
      </c>
      <c r="B316" s="7">
        <v>45795</v>
      </c>
      <c r="C316" s="4">
        <v>45797</v>
      </c>
      <c r="D316">
        <f>C316-B316</f>
        <v>2</v>
      </c>
      <c r="E316" t="str">
        <f>TEXT(B316,"mmmm")</f>
        <v>May</v>
      </c>
      <c r="F316">
        <f>YEAR(B316)</f>
        <v>2025</v>
      </c>
      <c r="G316" t="s">
        <v>1047</v>
      </c>
      <c r="H316" t="s">
        <v>47</v>
      </c>
      <c r="I316" t="s">
        <v>90</v>
      </c>
      <c r="J316" t="s">
        <v>63</v>
      </c>
      <c r="K316" t="s">
        <v>72</v>
      </c>
      <c r="L316" t="s">
        <v>73</v>
      </c>
      <c r="M316" t="s">
        <v>28</v>
      </c>
      <c r="N316" t="s">
        <v>91</v>
      </c>
      <c r="O316" t="s">
        <v>1048</v>
      </c>
      <c r="P316" t="s">
        <v>59</v>
      </c>
      <c r="Q316">
        <v>9</v>
      </c>
      <c r="R316">
        <v>847.76</v>
      </c>
      <c r="S316">
        <v>0.15</v>
      </c>
      <c r="T316" s="12">
        <f>S316</f>
        <v>0.15</v>
      </c>
      <c r="U316">
        <v>6485.36</v>
      </c>
      <c r="V316">
        <f>Q316*R316*(1-S316)</f>
        <v>6485.3639999999996</v>
      </c>
      <c r="W316">
        <v>5376.17</v>
      </c>
      <c r="X316">
        <v>1109.19</v>
      </c>
      <c r="Y316">
        <f>V316-W316</f>
        <v>1109.1939999999995</v>
      </c>
      <c r="Z316" s="12">
        <f>Y316/V316</f>
        <v>0.17103033846673826</v>
      </c>
      <c r="AA316" t="s">
        <v>155</v>
      </c>
      <c r="AB316" t="s">
        <v>103</v>
      </c>
      <c r="AC316" s="14" t="s">
        <v>2794</v>
      </c>
      <c r="AD316" t="s">
        <v>2782</v>
      </c>
      <c r="AE316" t="str">
        <f>PROPER(TRIM(AB316))</f>
        <v>Returned</v>
      </c>
      <c r="AS316" t="str">
        <f t="shared" si="6"/>
        <v/>
      </c>
    </row>
    <row r="317" spans="1:45">
      <c r="A317" t="s">
        <v>1049</v>
      </c>
      <c r="B317" s="7">
        <v>45475</v>
      </c>
      <c r="C317" s="4">
        <v>45481</v>
      </c>
      <c r="D317">
        <f>C317-B317</f>
        <v>6</v>
      </c>
      <c r="E317" t="str">
        <f>TEXT(B317,"mmmm")</f>
        <v>July</v>
      </c>
      <c r="F317">
        <f>YEAR(B317)</f>
        <v>2024</v>
      </c>
      <c r="G317" t="s">
        <v>1050</v>
      </c>
      <c r="H317" t="s">
        <v>141</v>
      </c>
      <c r="I317" t="s">
        <v>24</v>
      </c>
      <c r="J317" t="s">
        <v>25</v>
      </c>
      <c r="K317" t="s">
        <v>350</v>
      </c>
      <c r="L317" t="s">
        <v>351</v>
      </c>
      <c r="M317" t="s">
        <v>28</v>
      </c>
      <c r="N317" t="s">
        <v>29</v>
      </c>
      <c r="O317" t="s">
        <v>1051</v>
      </c>
      <c r="P317" t="s">
        <v>59</v>
      </c>
      <c r="Q317">
        <v>9</v>
      </c>
      <c r="R317">
        <v>3450.4</v>
      </c>
      <c r="S317">
        <v>0.05</v>
      </c>
      <c r="T317" s="12">
        <f>S317</f>
        <v>0.05</v>
      </c>
      <c r="U317">
        <v>29500.92</v>
      </c>
      <c r="V317">
        <f>Q317*R317*(1-S317)</f>
        <v>29500.920000000002</v>
      </c>
      <c r="W317">
        <v>17989.68</v>
      </c>
      <c r="X317">
        <v>11511.24</v>
      </c>
      <c r="Y317">
        <f>V317-W317</f>
        <v>11511.240000000002</v>
      </c>
      <c r="Z317" s="12">
        <f>Y317/V317</f>
        <v>0.39019935649464493</v>
      </c>
      <c r="AA317" t="s">
        <v>111</v>
      </c>
      <c r="AB317" t="s">
        <v>103</v>
      </c>
      <c r="AC317" s="14" t="s">
        <v>2794</v>
      </c>
      <c r="AD317" t="s">
        <v>2782</v>
      </c>
      <c r="AE317" t="str">
        <f>PROPER(TRIM(AB317))</f>
        <v>Returned</v>
      </c>
      <c r="AS317" t="str">
        <f t="shared" si="6"/>
        <v/>
      </c>
    </row>
    <row r="318" spans="1:45">
      <c r="A318" t="s">
        <v>1052</v>
      </c>
      <c r="B318" s="7">
        <v>45338</v>
      </c>
      <c r="C318" s="4">
        <v>45340</v>
      </c>
      <c r="D318">
        <f>C318-B318</f>
        <v>2</v>
      </c>
      <c r="E318" t="str">
        <f>TEXT(B318,"mmmm")</f>
        <v>February</v>
      </c>
      <c r="F318">
        <f>YEAR(B318)</f>
        <v>2024</v>
      </c>
      <c r="G318" t="s">
        <v>1053</v>
      </c>
      <c r="H318" t="s">
        <v>23</v>
      </c>
      <c r="I318" t="s">
        <v>90</v>
      </c>
      <c r="J318" t="s">
        <v>25</v>
      </c>
      <c r="K318" t="s">
        <v>122</v>
      </c>
      <c r="L318" t="s">
        <v>123</v>
      </c>
      <c r="M318" t="s">
        <v>28</v>
      </c>
      <c r="N318" t="s">
        <v>91</v>
      </c>
      <c r="O318" t="s">
        <v>1054</v>
      </c>
      <c r="P318" t="s">
        <v>59</v>
      </c>
      <c r="Q318">
        <v>2</v>
      </c>
      <c r="R318">
        <v>1947.53</v>
      </c>
      <c r="S318">
        <v>0.2</v>
      </c>
      <c r="T318" s="12">
        <f>S318</f>
        <v>0.2</v>
      </c>
      <c r="U318">
        <v>3116.05</v>
      </c>
      <c r="V318">
        <f>Q318*R318*(1-S318)</f>
        <v>3116.0480000000002</v>
      </c>
      <c r="W318">
        <v>1956.63</v>
      </c>
      <c r="X318">
        <v>1159.42</v>
      </c>
      <c r="Y318">
        <f>V318-W318</f>
        <v>1159.4180000000001</v>
      </c>
      <c r="Z318" s="12">
        <f>Y318/V318</f>
        <v>0.37207963420332424</v>
      </c>
      <c r="AA318" t="s">
        <v>32</v>
      </c>
      <c r="AB318" t="s">
        <v>68</v>
      </c>
      <c r="AC318" s="14" t="s">
        <v>2794</v>
      </c>
      <c r="AD318" t="s">
        <v>2782</v>
      </c>
      <c r="AE318" t="str">
        <f>PROPER(TRIM(AB318))</f>
        <v>Cancelled</v>
      </c>
      <c r="AS318" t="str">
        <f t="shared" si="6"/>
        <v/>
      </c>
    </row>
    <row r="319" spans="1:45">
      <c r="A319" t="s">
        <v>1055</v>
      </c>
      <c r="B319" s="7">
        <v>45898</v>
      </c>
      <c r="C319" s="4">
        <v>45904</v>
      </c>
      <c r="D319">
        <f>C319-B319</f>
        <v>6</v>
      </c>
      <c r="E319" t="str">
        <f>TEXT(B319,"mmmm")</f>
        <v>August</v>
      </c>
      <c r="F319">
        <f>YEAR(B319)</f>
        <v>2025</v>
      </c>
      <c r="G319" t="s">
        <v>1056</v>
      </c>
      <c r="H319" t="s">
        <v>79</v>
      </c>
      <c r="I319" t="s">
        <v>90</v>
      </c>
      <c r="J319" t="s">
        <v>54</v>
      </c>
      <c r="K319" t="s">
        <v>185</v>
      </c>
      <c r="L319" t="s">
        <v>186</v>
      </c>
      <c r="M319" t="s">
        <v>41</v>
      </c>
      <c r="N319" t="s">
        <v>42</v>
      </c>
      <c r="O319" t="s">
        <v>1057</v>
      </c>
      <c r="P319" t="s">
        <v>50</v>
      </c>
      <c r="Q319">
        <v>9</v>
      </c>
      <c r="R319">
        <v>2996.97</v>
      </c>
      <c r="S319">
        <v>0.15</v>
      </c>
      <c r="T319" s="12">
        <f>S319</f>
        <v>0.15</v>
      </c>
      <c r="U319">
        <v>22926.82</v>
      </c>
      <c r="V319">
        <f>Q319*R319*(1-S319)</f>
        <v>22926.820499999998</v>
      </c>
      <c r="W319">
        <v>14621.59</v>
      </c>
      <c r="X319">
        <v>8305.23</v>
      </c>
      <c r="Y319">
        <f>V319-W319</f>
        <v>8305.2304999999978</v>
      </c>
      <c r="Z319" s="12">
        <f>Y319/V319</f>
        <v>0.36224955396671765</v>
      </c>
      <c r="AA319" t="s">
        <v>32</v>
      </c>
      <c r="AB319" t="s">
        <v>33</v>
      </c>
      <c r="AC319" s="14" t="s">
        <v>2794</v>
      </c>
      <c r="AD319" t="s">
        <v>2782</v>
      </c>
      <c r="AE319" t="str">
        <f>PROPER(TRIM(AB319))</f>
        <v>Completed</v>
      </c>
      <c r="AS319" t="str">
        <f t="shared" si="6"/>
        <v/>
      </c>
    </row>
    <row r="320" spans="1:45">
      <c r="A320" t="s">
        <v>1058</v>
      </c>
      <c r="B320" s="7">
        <v>45407</v>
      </c>
      <c r="C320" s="4">
        <v>45412</v>
      </c>
      <c r="D320">
        <f>C320-B320</f>
        <v>5</v>
      </c>
      <c r="E320" t="str">
        <f>TEXT(B320,"mmmm")</f>
        <v>April</v>
      </c>
      <c r="F320">
        <f>YEAR(B320)</f>
        <v>2024</v>
      </c>
      <c r="G320" t="s">
        <v>1059</v>
      </c>
      <c r="H320" t="s">
        <v>36</v>
      </c>
      <c r="I320" t="s">
        <v>37</v>
      </c>
      <c r="J320" t="s">
        <v>54</v>
      </c>
      <c r="K320" t="s">
        <v>175</v>
      </c>
      <c r="L320" t="s">
        <v>176</v>
      </c>
      <c r="M320" t="s">
        <v>74</v>
      </c>
      <c r="N320" t="s">
        <v>171</v>
      </c>
      <c r="O320" t="s">
        <v>1060</v>
      </c>
      <c r="P320" t="s">
        <v>59</v>
      </c>
      <c r="Q320">
        <v>3</v>
      </c>
      <c r="R320">
        <v>4149.46</v>
      </c>
      <c r="S320">
        <v>0.1</v>
      </c>
      <c r="T320" s="12">
        <f>S320</f>
        <v>0.1</v>
      </c>
      <c r="U320">
        <v>11203.54</v>
      </c>
      <c r="V320">
        <f>Q320*R320*(1-S320)</f>
        <v>11203.542000000001</v>
      </c>
      <c r="W320">
        <v>8452.93</v>
      </c>
      <c r="X320">
        <v>2750.61</v>
      </c>
      <c r="Y320">
        <f>V320-W320</f>
        <v>2750.612000000001</v>
      </c>
      <c r="Z320" s="12">
        <f>Y320/V320</f>
        <v>0.24551271374713468</v>
      </c>
      <c r="AA320" t="s">
        <v>32</v>
      </c>
      <c r="AB320" t="s">
        <v>33</v>
      </c>
      <c r="AC320" s="14" t="s">
        <v>2794</v>
      </c>
      <c r="AD320" t="s">
        <v>2782</v>
      </c>
      <c r="AE320" t="str">
        <f>PROPER(TRIM(AB320))</f>
        <v>Completed</v>
      </c>
      <c r="AS320" t="str">
        <f t="shared" si="6"/>
        <v/>
      </c>
    </row>
    <row r="321" spans="1:45">
      <c r="A321" t="s">
        <v>1061</v>
      </c>
      <c r="B321" s="7">
        <v>45525</v>
      </c>
      <c r="C321" s="4">
        <v>45529</v>
      </c>
      <c r="D321">
        <f>C321-B321</f>
        <v>4</v>
      </c>
      <c r="E321" t="str">
        <f>TEXT(B321,"mmmm")</f>
        <v>August</v>
      </c>
      <c r="F321">
        <f>YEAR(B321)</f>
        <v>2024</v>
      </c>
      <c r="G321" t="s">
        <v>1062</v>
      </c>
      <c r="H321" t="s">
        <v>162</v>
      </c>
      <c r="I321" t="s">
        <v>24</v>
      </c>
      <c r="J321" t="s">
        <v>63</v>
      </c>
      <c r="K321" t="s">
        <v>180</v>
      </c>
      <c r="L321" t="s">
        <v>181</v>
      </c>
      <c r="M321" t="s">
        <v>28</v>
      </c>
      <c r="N321" t="s">
        <v>153</v>
      </c>
      <c r="O321" t="s">
        <v>1063</v>
      </c>
      <c r="P321" t="s">
        <v>50</v>
      </c>
      <c r="Q321">
        <v>1</v>
      </c>
      <c r="R321">
        <v>270.27999999999997</v>
      </c>
      <c r="S321">
        <v>0</v>
      </c>
      <c r="T321" s="12">
        <f>S321</f>
        <v>0</v>
      </c>
      <c r="U321">
        <v>270.27999999999997</v>
      </c>
      <c r="V321">
        <f>Q321*R321*(1-S321)</f>
        <v>270.27999999999997</v>
      </c>
      <c r="W321">
        <v>156.34</v>
      </c>
      <c r="X321">
        <v>113.94</v>
      </c>
      <c r="Y321">
        <f>V321-W321</f>
        <v>113.93999999999997</v>
      </c>
      <c r="Z321" s="12">
        <f>Y321/V321</f>
        <v>0.42156282373834536</v>
      </c>
      <c r="AA321" t="s">
        <v>32</v>
      </c>
      <c r="AB321" t="s">
        <v>33</v>
      </c>
      <c r="AC321" s="14" t="s">
        <v>2794</v>
      </c>
      <c r="AD321" t="s">
        <v>2782</v>
      </c>
      <c r="AE321" t="str">
        <f>PROPER(TRIM(AB321))</f>
        <v>Completed</v>
      </c>
      <c r="AS321" t="str">
        <f t="shared" si="6"/>
        <v/>
      </c>
    </row>
    <row r="322" spans="1:45">
      <c r="A322" t="s">
        <v>1064</v>
      </c>
      <c r="B322" s="7">
        <v>45394</v>
      </c>
      <c r="C322" s="4">
        <v>45455</v>
      </c>
      <c r="D322">
        <f>C322-B322</f>
        <v>61</v>
      </c>
      <c r="E322" t="str">
        <f>TEXT(B322,"mmmm")</f>
        <v>April</v>
      </c>
      <c r="F322">
        <f>YEAR(B322)</f>
        <v>2024</v>
      </c>
      <c r="G322" t="s">
        <v>1065</v>
      </c>
      <c r="H322" t="s">
        <v>128</v>
      </c>
      <c r="I322" t="s">
        <v>95</v>
      </c>
      <c r="J322" t="s">
        <v>38</v>
      </c>
      <c r="K322" t="s">
        <v>99</v>
      </c>
      <c r="L322" t="s">
        <v>100</v>
      </c>
      <c r="M322" t="s">
        <v>28</v>
      </c>
      <c r="N322" t="s">
        <v>48</v>
      </c>
      <c r="O322" t="s">
        <v>1066</v>
      </c>
      <c r="P322" t="s">
        <v>31</v>
      </c>
      <c r="Q322">
        <v>3</v>
      </c>
      <c r="R322">
        <v>876.14</v>
      </c>
      <c r="S322" s="3">
        <v>0.7</v>
      </c>
      <c r="T322" s="13">
        <f>S322</f>
        <v>0.7</v>
      </c>
      <c r="U322">
        <v>2628.42</v>
      </c>
      <c r="V322">
        <f>Q322*R322*(1-S322)</f>
        <v>788.52600000000018</v>
      </c>
      <c r="W322">
        <v>1541.54</v>
      </c>
      <c r="X322">
        <v>1086.8800000000001</v>
      </c>
      <c r="Y322">
        <f>V322-W322</f>
        <v>-753.01399999999978</v>
      </c>
      <c r="Z322" s="12">
        <f>Y322/V322</f>
        <v>-0.95496407220560842</v>
      </c>
      <c r="AA322" t="s">
        <v>111</v>
      </c>
      <c r="AB322" t="s">
        <v>103</v>
      </c>
      <c r="AC322" s="10" t="s">
        <v>2793</v>
      </c>
      <c r="AD322" t="s">
        <v>2782</v>
      </c>
      <c r="AE322" t="str">
        <f>PROPER(TRIM(AB322))</f>
        <v>Returned</v>
      </c>
      <c r="AS322" t="str">
        <f t="shared" si="6"/>
        <v/>
      </c>
    </row>
    <row r="323" spans="1:45">
      <c r="A323" t="s">
        <v>1067</v>
      </c>
      <c r="B323" s="7">
        <v>45466</v>
      </c>
      <c r="C323" s="4">
        <v>45473</v>
      </c>
      <c r="D323">
        <f>C323-B323</f>
        <v>7</v>
      </c>
      <c r="E323" t="str">
        <f>TEXT(B323,"mmmm")</f>
        <v>June</v>
      </c>
      <c r="F323">
        <f>YEAR(B323)</f>
        <v>2024</v>
      </c>
      <c r="G323" t="s">
        <v>1068</v>
      </c>
      <c r="H323" t="s">
        <v>79</v>
      </c>
      <c r="I323" t="s">
        <v>37</v>
      </c>
      <c r="J323" t="s">
        <v>63</v>
      </c>
      <c r="K323" t="s">
        <v>190</v>
      </c>
      <c r="L323" t="s">
        <v>191</v>
      </c>
      <c r="M323" t="s">
        <v>74</v>
      </c>
      <c r="N323" t="s">
        <v>75</v>
      </c>
      <c r="O323" t="s">
        <v>1069</v>
      </c>
      <c r="P323" t="s">
        <v>44</v>
      </c>
      <c r="Q323">
        <v>4</v>
      </c>
      <c r="R323">
        <v>674.82</v>
      </c>
      <c r="S323">
        <v>0</v>
      </c>
      <c r="T323" s="12">
        <f>S323</f>
        <v>0</v>
      </c>
      <c r="U323">
        <v>2699.28</v>
      </c>
      <c r="V323">
        <f>Q323*R323*(1-S323)</f>
        <v>2699.28</v>
      </c>
      <c r="W323">
        <v>1759.76</v>
      </c>
      <c r="X323">
        <v>939.52</v>
      </c>
      <c r="Y323">
        <f>V323-W323</f>
        <v>939.52000000000021</v>
      </c>
      <c r="Z323" s="12">
        <f>Y323/V323</f>
        <v>0.34806318722029583</v>
      </c>
      <c r="AA323" t="s">
        <v>155</v>
      </c>
      <c r="AB323" t="s">
        <v>68</v>
      </c>
      <c r="AC323" s="14" t="s">
        <v>2794</v>
      </c>
      <c r="AD323" t="s">
        <v>2782</v>
      </c>
      <c r="AE323" t="str">
        <f>PROPER(TRIM(AB323))</f>
        <v>Cancelled</v>
      </c>
      <c r="AS323" t="str">
        <f t="shared" ref="AS323:AS386" si="7">PROPER(TRIM(AD323))</f>
        <v/>
      </c>
    </row>
    <row r="324" spans="1:45">
      <c r="A324" t="s">
        <v>1070</v>
      </c>
      <c r="B324" s="7">
        <v>45608</v>
      </c>
      <c r="C324" s="4">
        <v>45608</v>
      </c>
      <c r="D324">
        <f>C324-B324</f>
        <v>0</v>
      </c>
      <c r="E324" t="str">
        <f>TEXT(B324,"mmmm")</f>
        <v>November</v>
      </c>
      <c r="F324">
        <f>YEAR(B324)</f>
        <v>2024</v>
      </c>
      <c r="G324" t="s">
        <v>1071</v>
      </c>
      <c r="H324" t="s">
        <v>47</v>
      </c>
      <c r="I324" t="s">
        <v>24</v>
      </c>
      <c r="J324" t="s">
        <v>25</v>
      </c>
      <c r="K324" t="s">
        <v>136</v>
      </c>
      <c r="L324" t="s">
        <v>137</v>
      </c>
      <c r="M324" t="s">
        <v>74</v>
      </c>
      <c r="N324" t="s">
        <v>171</v>
      </c>
      <c r="O324" t="s">
        <v>1072</v>
      </c>
      <c r="P324" t="s">
        <v>31</v>
      </c>
      <c r="Q324">
        <v>6</v>
      </c>
      <c r="R324">
        <v>1369.48</v>
      </c>
      <c r="S324">
        <v>0.15</v>
      </c>
      <c r="T324" s="12">
        <f>S324</f>
        <v>0.15</v>
      </c>
      <c r="U324">
        <v>6984.35</v>
      </c>
      <c r="V324">
        <f>Q324*R324*(1-S324)</f>
        <v>6984.3480000000009</v>
      </c>
      <c r="W324">
        <v>4023.63</v>
      </c>
      <c r="X324">
        <v>2960.72</v>
      </c>
      <c r="Y324">
        <f>V324-W324</f>
        <v>2960.7180000000008</v>
      </c>
      <c r="Z324" s="12">
        <f>Y324/V324</f>
        <v>0.42390757161584736</v>
      </c>
      <c r="AA324" t="s">
        <v>32</v>
      </c>
      <c r="AB324" t="s">
        <v>33</v>
      </c>
      <c r="AC324" s="14" t="s">
        <v>2794</v>
      </c>
      <c r="AD324" t="s">
        <v>2782</v>
      </c>
      <c r="AE324" t="str">
        <f>PROPER(TRIM(AB324))</f>
        <v>Completed</v>
      </c>
      <c r="AS324" t="str">
        <f t="shared" si="7"/>
        <v/>
      </c>
    </row>
    <row r="325" spans="1:45">
      <c r="A325" t="s">
        <v>1073</v>
      </c>
      <c r="B325" s="7">
        <v>45347</v>
      </c>
      <c r="C325" s="4">
        <v>45351</v>
      </c>
      <c r="D325">
        <f>C325-B325</f>
        <v>4</v>
      </c>
      <c r="E325" t="str">
        <f>TEXT(B325,"mmmm")</f>
        <v>February</v>
      </c>
      <c r="F325">
        <f>YEAR(B325)</f>
        <v>2024</v>
      </c>
      <c r="G325" t="s">
        <v>1074</v>
      </c>
      <c r="H325" t="s">
        <v>47</v>
      </c>
      <c r="I325" t="s">
        <v>37</v>
      </c>
      <c r="J325" t="s">
        <v>63</v>
      </c>
      <c r="K325" t="s">
        <v>190</v>
      </c>
      <c r="L325" t="s">
        <v>191</v>
      </c>
      <c r="M325" t="s">
        <v>41</v>
      </c>
      <c r="N325" t="s">
        <v>57</v>
      </c>
      <c r="O325" t="s">
        <v>150</v>
      </c>
      <c r="P325" t="s">
        <v>59</v>
      </c>
      <c r="Q325">
        <v>9</v>
      </c>
      <c r="R325">
        <v>1331.46</v>
      </c>
      <c r="S325">
        <v>0.15</v>
      </c>
      <c r="T325" s="12">
        <f>S325</f>
        <v>0.15</v>
      </c>
      <c r="U325">
        <v>10185.67</v>
      </c>
      <c r="V325">
        <f>Q325*R325*(1-S325)</f>
        <v>10185.669</v>
      </c>
      <c r="W325">
        <v>6479.31</v>
      </c>
      <c r="X325">
        <v>3706.36</v>
      </c>
      <c r="Y325">
        <f>V325-W325</f>
        <v>3706.3589999999995</v>
      </c>
      <c r="Z325" s="12">
        <f>Y325/V325</f>
        <v>0.36387978050337189</v>
      </c>
      <c r="AA325" t="s">
        <v>32</v>
      </c>
      <c r="AB325" t="s">
        <v>33</v>
      </c>
      <c r="AC325" s="14" t="s">
        <v>2794</v>
      </c>
      <c r="AD325" t="s">
        <v>2782</v>
      </c>
      <c r="AE325" t="str">
        <f>PROPER(TRIM(AB325))</f>
        <v>Completed</v>
      </c>
      <c r="AS325" t="str">
        <f t="shared" si="7"/>
        <v/>
      </c>
    </row>
    <row r="326" spans="1:45">
      <c r="A326" t="s">
        <v>1075</v>
      </c>
      <c r="B326" s="7">
        <v>45869</v>
      </c>
      <c r="C326" s="4">
        <v>45871</v>
      </c>
      <c r="D326">
        <f>C326-B326</f>
        <v>2</v>
      </c>
      <c r="E326" t="str">
        <f>TEXT(B326,"mmmm")</f>
        <v>July</v>
      </c>
      <c r="F326">
        <f>YEAR(B326)</f>
        <v>2025</v>
      </c>
      <c r="G326" t="s">
        <v>1076</v>
      </c>
      <c r="H326" t="s">
        <v>141</v>
      </c>
      <c r="I326" t="s">
        <v>95</v>
      </c>
      <c r="J326" t="s">
        <v>54</v>
      </c>
      <c r="K326" t="s">
        <v>84</v>
      </c>
      <c r="L326" t="s">
        <v>85</v>
      </c>
      <c r="M326" t="s">
        <v>28</v>
      </c>
      <c r="N326" t="s">
        <v>91</v>
      </c>
      <c r="O326" t="s">
        <v>1077</v>
      </c>
      <c r="P326" t="s">
        <v>44</v>
      </c>
      <c r="Q326">
        <v>1</v>
      </c>
      <c r="R326">
        <v>1947.88</v>
      </c>
      <c r="S326">
        <v>0.15</v>
      </c>
      <c r="T326" s="12">
        <f>S326</f>
        <v>0.15</v>
      </c>
      <c r="U326">
        <v>1655.7</v>
      </c>
      <c r="V326">
        <f>Q326*R326*(1-S326)</f>
        <v>1655.6980000000001</v>
      </c>
      <c r="W326">
        <v>1354.8</v>
      </c>
      <c r="X326">
        <v>300.89999999999998</v>
      </c>
      <c r="Y326">
        <f>V326-W326</f>
        <v>300.89800000000014</v>
      </c>
      <c r="Z326" s="12">
        <f>Y326/V326</f>
        <v>0.1817348332848141</v>
      </c>
      <c r="AA326" t="s">
        <v>32</v>
      </c>
      <c r="AB326" t="s">
        <v>103</v>
      </c>
      <c r="AC326" s="14" t="s">
        <v>2794</v>
      </c>
      <c r="AD326" t="s">
        <v>2782</v>
      </c>
      <c r="AE326" t="str">
        <f>PROPER(TRIM(AB326))</f>
        <v>Returned</v>
      </c>
      <c r="AS326" t="str">
        <f t="shared" si="7"/>
        <v/>
      </c>
    </row>
    <row r="327" spans="1:45">
      <c r="A327" t="s">
        <v>1078</v>
      </c>
      <c r="B327" s="7">
        <v>45916</v>
      </c>
      <c r="C327" s="4">
        <v>45922</v>
      </c>
      <c r="D327">
        <f>C327-B327</f>
        <v>6</v>
      </c>
      <c r="E327" t="str">
        <f>TEXT(B327,"mmmm")</f>
        <v>September</v>
      </c>
      <c r="F327">
        <f>YEAR(B327)</f>
        <v>2025</v>
      </c>
      <c r="G327" t="s">
        <v>1079</v>
      </c>
      <c r="H327" t="s">
        <v>132</v>
      </c>
      <c r="I327" t="s">
        <v>95</v>
      </c>
      <c r="J327" t="s">
        <v>38</v>
      </c>
      <c r="K327" t="s">
        <v>99</v>
      </c>
      <c r="L327" t="s">
        <v>100</v>
      </c>
      <c r="M327" t="s">
        <v>74</v>
      </c>
      <c r="N327" t="s">
        <v>80</v>
      </c>
      <c r="O327" t="s">
        <v>1080</v>
      </c>
      <c r="P327" t="s">
        <v>31</v>
      </c>
      <c r="Q327">
        <v>5</v>
      </c>
      <c r="R327">
        <v>3671.2</v>
      </c>
      <c r="S327">
        <v>0.15</v>
      </c>
      <c r="T327" s="12">
        <f>S327</f>
        <v>0.15</v>
      </c>
      <c r="U327">
        <v>15602.6</v>
      </c>
      <c r="V327">
        <f>Q327*R327*(1-S327)</f>
        <v>15602.6</v>
      </c>
      <c r="W327">
        <v>11908.52</v>
      </c>
      <c r="X327">
        <v>3694.08</v>
      </c>
      <c r="Y327">
        <f>V327-W327</f>
        <v>3694.08</v>
      </c>
      <c r="Z327" s="12">
        <f>Y327/V327</f>
        <v>0.236760539910015</v>
      </c>
      <c r="AA327" t="s">
        <v>32</v>
      </c>
      <c r="AB327" t="s">
        <v>33</v>
      </c>
      <c r="AC327" s="14" t="s">
        <v>2794</v>
      </c>
      <c r="AD327" t="s">
        <v>2782</v>
      </c>
      <c r="AE327" t="str">
        <f>PROPER(TRIM(AB327))</f>
        <v>Completed</v>
      </c>
      <c r="AS327" t="str">
        <f t="shared" si="7"/>
        <v/>
      </c>
    </row>
    <row r="328" spans="1:45">
      <c r="A328" t="s">
        <v>1081</v>
      </c>
      <c r="B328" s="7">
        <v>45860</v>
      </c>
      <c r="C328" s="4">
        <v>45860</v>
      </c>
      <c r="D328">
        <f>C328-B328</f>
        <v>0</v>
      </c>
      <c r="E328" t="str">
        <f>TEXT(B328,"mmmm")</f>
        <v>July</v>
      </c>
      <c r="F328">
        <f>YEAR(B328)</f>
        <v>2025</v>
      </c>
      <c r="G328" t="s">
        <v>1082</v>
      </c>
      <c r="H328" t="s">
        <v>132</v>
      </c>
      <c r="I328" t="s">
        <v>90</v>
      </c>
      <c r="J328" t="s">
        <v>38</v>
      </c>
      <c r="K328" t="s">
        <v>228</v>
      </c>
      <c r="L328" t="s">
        <v>229</v>
      </c>
      <c r="M328" t="s">
        <v>41</v>
      </c>
      <c r="N328" t="s">
        <v>57</v>
      </c>
      <c r="O328" t="s">
        <v>1083</v>
      </c>
      <c r="P328" t="s">
        <v>44</v>
      </c>
      <c r="Q328">
        <v>5</v>
      </c>
      <c r="R328">
        <v>3187.05</v>
      </c>
      <c r="S328">
        <v>0.05</v>
      </c>
      <c r="T328" s="12">
        <f>S328</f>
        <v>0.05</v>
      </c>
      <c r="U328">
        <v>15138.49</v>
      </c>
      <c r="V328">
        <f>Q328*R328*(1-S328)</f>
        <v>15138.487499999999</v>
      </c>
      <c r="W328">
        <v>11235.72</v>
      </c>
      <c r="X328">
        <v>3902.77</v>
      </c>
      <c r="Y328">
        <f>V328-W328</f>
        <v>3902.7674999999999</v>
      </c>
      <c r="Z328" s="12">
        <f>Y328/V328</f>
        <v>0.25780432160082045</v>
      </c>
      <c r="AA328" t="s">
        <v>32</v>
      </c>
      <c r="AB328" t="s">
        <v>33</v>
      </c>
      <c r="AC328" s="14" t="s">
        <v>2794</v>
      </c>
      <c r="AD328" t="s">
        <v>2782</v>
      </c>
      <c r="AE328" t="str">
        <f>PROPER(TRIM(AB328))</f>
        <v>Completed</v>
      </c>
      <c r="AS328" t="str">
        <f t="shared" si="7"/>
        <v/>
      </c>
    </row>
    <row r="329" spans="1:45">
      <c r="A329" t="s">
        <v>1084</v>
      </c>
      <c r="B329" s="7">
        <v>45497</v>
      </c>
      <c r="C329" s="4">
        <v>45500</v>
      </c>
      <c r="D329">
        <f>C329-B329</f>
        <v>3</v>
      </c>
      <c r="E329" t="str">
        <f>TEXT(B329,"mmmm")</f>
        <v>July</v>
      </c>
      <c r="F329">
        <f>YEAR(B329)</f>
        <v>2024</v>
      </c>
      <c r="G329" t="s">
        <v>1085</v>
      </c>
      <c r="H329" t="s">
        <v>47</v>
      </c>
      <c r="I329" t="s">
        <v>24</v>
      </c>
      <c r="J329" t="s">
        <v>63</v>
      </c>
      <c r="K329" t="s">
        <v>26</v>
      </c>
      <c r="L329" t="s">
        <v>109</v>
      </c>
      <c r="M329" t="s">
        <v>74</v>
      </c>
      <c r="N329" t="s">
        <v>75</v>
      </c>
      <c r="O329" t="s">
        <v>1086</v>
      </c>
      <c r="P329" t="s">
        <v>31</v>
      </c>
      <c r="Q329">
        <v>3</v>
      </c>
      <c r="R329">
        <v>1834.55</v>
      </c>
      <c r="S329">
        <v>0.2</v>
      </c>
      <c r="T329" s="12">
        <f>S329</f>
        <v>0.2</v>
      </c>
      <c r="U329">
        <v>4402.92</v>
      </c>
      <c r="V329">
        <f>Q329*R329*(1-S329)</f>
        <v>4402.92</v>
      </c>
      <c r="W329">
        <v>2993.94</v>
      </c>
      <c r="X329">
        <v>1408.98</v>
      </c>
      <c r="Y329">
        <f>V329-W329</f>
        <v>1408.98</v>
      </c>
      <c r="Z329" s="12">
        <f>Y329/V329</f>
        <v>0.32001035676323897</v>
      </c>
      <c r="AA329" t="s">
        <v>111</v>
      </c>
      <c r="AB329" t="s">
        <v>68</v>
      </c>
      <c r="AC329" s="14" t="s">
        <v>2794</v>
      </c>
      <c r="AD329" t="s">
        <v>2782</v>
      </c>
      <c r="AE329" t="str">
        <f>PROPER(TRIM(AB329))</f>
        <v>Cancelled</v>
      </c>
      <c r="AS329" t="str">
        <f t="shared" si="7"/>
        <v/>
      </c>
    </row>
    <row r="330" spans="1:45">
      <c r="A330" t="s">
        <v>1087</v>
      </c>
      <c r="B330" s="7">
        <v>45806</v>
      </c>
      <c r="C330" s="4">
        <v>45812</v>
      </c>
      <c r="D330">
        <f>C330-B330</f>
        <v>6</v>
      </c>
      <c r="E330" t="str">
        <f>TEXT(B330,"mmmm")</f>
        <v>May</v>
      </c>
      <c r="F330">
        <f>YEAR(B330)</f>
        <v>2025</v>
      </c>
      <c r="G330" t="s">
        <v>1088</v>
      </c>
      <c r="H330" t="s">
        <v>162</v>
      </c>
      <c r="I330" t="s">
        <v>24</v>
      </c>
      <c r="J330" t="s">
        <v>63</v>
      </c>
      <c r="K330" t="s">
        <v>64</v>
      </c>
      <c r="L330" t="s">
        <v>65</v>
      </c>
      <c r="M330" t="s">
        <v>28</v>
      </c>
      <c r="N330" t="s">
        <v>124</v>
      </c>
      <c r="O330" t="s">
        <v>1089</v>
      </c>
      <c r="P330" t="s">
        <v>50</v>
      </c>
      <c r="Q330">
        <v>6</v>
      </c>
      <c r="R330">
        <v>3100.68</v>
      </c>
      <c r="S330">
        <v>0</v>
      </c>
      <c r="T330" s="12">
        <f>S330</f>
        <v>0</v>
      </c>
      <c r="U330">
        <v>18604.080000000002</v>
      </c>
      <c r="V330">
        <f>Q330*R330*(1-S330)</f>
        <v>18604.079999999998</v>
      </c>
      <c r="W330">
        <v>15834.3</v>
      </c>
      <c r="X330">
        <v>2769.78</v>
      </c>
      <c r="Y330">
        <f>V330-W330</f>
        <v>2769.7799999999988</v>
      </c>
      <c r="Z330" s="12">
        <f>Y330/V330</f>
        <v>0.1488802456235406</v>
      </c>
      <c r="AA330" t="s">
        <v>32</v>
      </c>
      <c r="AB330" t="s">
        <v>33</v>
      </c>
      <c r="AC330" s="14" t="s">
        <v>2794</v>
      </c>
      <c r="AD330" t="s">
        <v>2782</v>
      </c>
      <c r="AE330" t="str">
        <f>PROPER(TRIM(AB330))</f>
        <v>Completed</v>
      </c>
      <c r="AS330" t="str">
        <f t="shared" si="7"/>
        <v/>
      </c>
    </row>
    <row r="331" spans="1:45">
      <c r="A331" t="s">
        <v>1090</v>
      </c>
      <c r="B331" s="7">
        <v>45789</v>
      </c>
      <c r="C331" s="4">
        <v>45795</v>
      </c>
      <c r="D331">
        <f>C331-B331</f>
        <v>6</v>
      </c>
      <c r="E331" t="str">
        <f>TEXT(B331,"mmmm")</f>
        <v>May</v>
      </c>
      <c r="F331">
        <f>YEAR(B331)</f>
        <v>2025</v>
      </c>
      <c r="G331" t="s">
        <v>1091</v>
      </c>
      <c r="H331" t="s">
        <v>79</v>
      </c>
      <c r="I331" t="s">
        <v>37</v>
      </c>
      <c r="J331" t="s">
        <v>63</v>
      </c>
      <c r="K331" t="s">
        <v>64</v>
      </c>
      <c r="L331" t="s">
        <v>65</v>
      </c>
      <c r="M331" t="s">
        <v>28</v>
      </c>
      <c r="N331" t="s">
        <v>124</v>
      </c>
      <c r="O331" t="s">
        <v>1092</v>
      </c>
      <c r="P331" t="s">
        <v>59</v>
      </c>
      <c r="Q331">
        <v>4</v>
      </c>
      <c r="R331">
        <v>4053.03</v>
      </c>
      <c r="S331">
        <v>0.05</v>
      </c>
      <c r="T331" s="12">
        <f>S331</f>
        <v>0.05</v>
      </c>
      <c r="U331">
        <v>15401.51</v>
      </c>
      <c r="V331">
        <f>Q331*R331*(1-S331)</f>
        <v>15401.513999999999</v>
      </c>
      <c r="W331">
        <v>8650.42</v>
      </c>
      <c r="X331">
        <v>6751.09</v>
      </c>
      <c r="Y331">
        <f>V331-W331</f>
        <v>6751.0939999999991</v>
      </c>
      <c r="Z331" s="12">
        <f>Y331/V331</f>
        <v>0.43833963336331738</v>
      </c>
      <c r="AA331" t="s">
        <v>32</v>
      </c>
      <c r="AB331" t="s">
        <v>33</v>
      </c>
      <c r="AC331" s="14" t="s">
        <v>2794</v>
      </c>
      <c r="AD331" t="s">
        <v>2782</v>
      </c>
      <c r="AE331" t="str">
        <f>PROPER(TRIM(AB331))</f>
        <v>Completed</v>
      </c>
      <c r="AS331" t="str">
        <f t="shared" si="7"/>
        <v/>
      </c>
    </row>
    <row r="332" spans="1:45">
      <c r="A332" t="s">
        <v>1093</v>
      </c>
      <c r="B332" s="7">
        <v>45428</v>
      </c>
      <c r="C332" s="4">
        <v>45436</v>
      </c>
      <c r="D332">
        <f>C332-B332</f>
        <v>8</v>
      </c>
      <c r="E332" t="str">
        <f>TEXT(B332,"mmmm")</f>
        <v>May</v>
      </c>
      <c r="F332">
        <f>YEAR(B332)</f>
        <v>2024</v>
      </c>
      <c r="G332" t="s">
        <v>1094</v>
      </c>
      <c r="H332" t="s">
        <v>53</v>
      </c>
      <c r="I332" t="s">
        <v>95</v>
      </c>
      <c r="J332" t="s">
        <v>25</v>
      </c>
      <c r="K332" t="s">
        <v>122</v>
      </c>
      <c r="L332" t="s">
        <v>123</v>
      </c>
      <c r="M332" t="s">
        <v>74</v>
      </c>
      <c r="N332" t="s">
        <v>75</v>
      </c>
      <c r="O332" t="s">
        <v>1095</v>
      </c>
      <c r="P332" t="s">
        <v>44</v>
      </c>
      <c r="Q332">
        <v>1</v>
      </c>
      <c r="R332">
        <v>783.09</v>
      </c>
      <c r="S332">
        <v>0</v>
      </c>
      <c r="T332" s="12">
        <f>S332</f>
        <v>0</v>
      </c>
      <c r="U332">
        <v>783.09</v>
      </c>
      <c r="V332">
        <f>Q332*R332*(1-S332)</f>
        <v>783.09</v>
      </c>
      <c r="W332">
        <v>503.89</v>
      </c>
      <c r="X332">
        <v>279.2</v>
      </c>
      <c r="Y332">
        <f>V332-W332</f>
        <v>279.20000000000005</v>
      </c>
      <c r="Z332" s="12">
        <f>Y332/V332</f>
        <v>0.3565362857398256</v>
      </c>
      <c r="AA332" t="s">
        <v>155</v>
      </c>
      <c r="AB332" t="s">
        <v>68</v>
      </c>
      <c r="AC332" s="14" t="s">
        <v>2794</v>
      </c>
      <c r="AD332" t="s">
        <v>2782</v>
      </c>
      <c r="AE332" t="str">
        <f>PROPER(TRIM(AB332))</f>
        <v>Cancelled</v>
      </c>
      <c r="AS332" t="str">
        <f t="shared" si="7"/>
        <v/>
      </c>
    </row>
    <row r="333" spans="1:45">
      <c r="A333" t="s">
        <v>1096</v>
      </c>
      <c r="B333" s="7">
        <v>45630</v>
      </c>
      <c r="C333" s="4">
        <v>45632</v>
      </c>
      <c r="D333">
        <f>C333-B333</f>
        <v>2</v>
      </c>
      <c r="E333" t="str">
        <f>TEXT(B333,"mmmm")</f>
        <v>December</v>
      </c>
      <c r="F333">
        <f>YEAR(B333)</f>
        <v>2024</v>
      </c>
      <c r="G333" t="s">
        <v>1097</v>
      </c>
      <c r="H333" t="s">
        <v>132</v>
      </c>
      <c r="I333" t="s">
        <v>95</v>
      </c>
      <c r="J333" t="s">
        <v>38</v>
      </c>
      <c r="K333" t="s">
        <v>39</v>
      </c>
      <c r="L333" t="s">
        <v>40</v>
      </c>
      <c r="M333" t="s">
        <v>28</v>
      </c>
      <c r="N333" t="s">
        <v>153</v>
      </c>
      <c r="O333" t="s">
        <v>1098</v>
      </c>
      <c r="P333" t="s">
        <v>31</v>
      </c>
      <c r="Q333">
        <v>4</v>
      </c>
      <c r="R333">
        <v>2685.66</v>
      </c>
      <c r="S333">
        <v>0</v>
      </c>
      <c r="T333" s="12">
        <f>S333</f>
        <v>0</v>
      </c>
      <c r="U333">
        <v>10742.64</v>
      </c>
      <c r="V333">
        <f>Q333*R333*(1-S333)</f>
        <v>10742.64</v>
      </c>
      <c r="W333">
        <v>6477.37</v>
      </c>
      <c r="X333">
        <v>4265.2700000000004</v>
      </c>
      <c r="Y333">
        <f>V333-W333</f>
        <v>4265.2699999999995</v>
      </c>
      <c r="Z333" s="12">
        <f>Y333/V333</f>
        <v>0.39704113700170535</v>
      </c>
      <c r="AA333" t="s">
        <v>32</v>
      </c>
      <c r="AB333" t="s">
        <v>103</v>
      </c>
      <c r="AC333" s="14" t="s">
        <v>2794</v>
      </c>
      <c r="AD333" t="s">
        <v>2782</v>
      </c>
      <c r="AE333" t="str">
        <f>PROPER(TRIM(AB333))</f>
        <v>Returned</v>
      </c>
      <c r="AS333" t="str">
        <f t="shared" si="7"/>
        <v/>
      </c>
    </row>
    <row r="334" spans="1:45">
      <c r="A334" t="s">
        <v>1099</v>
      </c>
      <c r="B334" s="7">
        <v>45804</v>
      </c>
      <c r="C334" s="4">
        <v>45805</v>
      </c>
      <c r="D334">
        <f>C334-B334</f>
        <v>1</v>
      </c>
      <c r="E334" t="str">
        <f>TEXT(B334,"mmmm")</f>
        <v>May</v>
      </c>
      <c r="F334">
        <f>YEAR(B334)</f>
        <v>2025</v>
      </c>
      <c r="G334" t="s">
        <v>1100</v>
      </c>
      <c r="H334" t="s">
        <v>128</v>
      </c>
      <c r="I334" t="s">
        <v>24</v>
      </c>
      <c r="J334" t="s">
        <v>54</v>
      </c>
      <c r="K334" t="s">
        <v>84</v>
      </c>
      <c r="L334" t="s">
        <v>85</v>
      </c>
      <c r="M334" t="s">
        <v>74</v>
      </c>
      <c r="N334" t="s">
        <v>274</v>
      </c>
      <c r="O334" t="s">
        <v>1101</v>
      </c>
      <c r="P334" t="s">
        <v>31</v>
      </c>
      <c r="Q334">
        <v>2</v>
      </c>
      <c r="R334">
        <v>3911.96</v>
      </c>
      <c r="S334">
        <v>0</v>
      </c>
      <c r="T334" s="12">
        <f>S334</f>
        <v>0</v>
      </c>
      <c r="U334">
        <v>7823.92</v>
      </c>
      <c r="V334">
        <f>Q334*R334*(1-S334)</f>
        <v>7823.92</v>
      </c>
      <c r="W334">
        <v>6034.63</v>
      </c>
      <c r="X334">
        <v>1789.29</v>
      </c>
      <c r="Y334">
        <f>V334-W334</f>
        <v>1789.29</v>
      </c>
      <c r="Z334" s="12">
        <f>Y334/V334</f>
        <v>0.22869482305545047</v>
      </c>
      <c r="AA334" t="s">
        <v>32</v>
      </c>
      <c r="AB334" t="s">
        <v>33</v>
      </c>
      <c r="AC334" s="14" t="s">
        <v>2794</v>
      </c>
      <c r="AD334" t="s">
        <v>2782</v>
      </c>
      <c r="AE334" t="str">
        <f>PROPER(TRIM(AB334))</f>
        <v>Completed</v>
      </c>
      <c r="AS334" t="str">
        <f t="shared" si="7"/>
        <v/>
      </c>
    </row>
    <row r="335" spans="1:45">
      <c r="A335" t="s">
        <v>1102</v>
      </c>
      <c r="B335" s="7">
        <v>45830</v>
      </c>
      <c r="C335" s="4">
        <v>45835</v>
      </c>
      <c r="D335">
        <f>C335-B335</f>
        <v>5</v>
      </c>
      <c r="E335" t="str">
        <f>TEXT(B335,"mmmm")</f>
        <v>June</v>
      </c>
      <c r="F335">
        <f>YEAR(B335)</f>
        <v>2025</v>
      </c>
      <c r="G335" t="s">
        <v>1103</v>
      </c>
      <c r="H335" t="s">
        <v>141</v>
      </c>
      <c r="I335" t="s">
        <v>95</v>
      </c>
      <c r="J335" t="s">
        <v>2783</v>
      </c>
      <c r="K335" t="s">
        <v>350</v>
      </c>
      <c r="L335" t="s">
        <v>351</v>
      </c>
      <c r="M335" t="s">
        <v>74</v>
      </c>
      <c r="N335" t="s">
        <v>171</v>
      </c>
      <c r="O335" t="s">
        <v>1104</v>
      </c>
      <c r="P335" t="s">
        <v>50</v>
      </c>
      <c r="Q335">
        <v>2</v>
      </c>
      <c r="R335">
        <v>1468.05</v>
      </c>
      <c r="S335">
        <v>0</v>
      </c>
      <c r="T335" s="12">
        <f>S335</f>
        <v>0</v>
      </c>
      <c r="U335">
        <v>2936.1</v>
      </c>
      <c r="V335">
        <f>Q335*R335*(1-S335)</f>
        <v>2936.1</v>
      </c>
      <c r="W335">
        <v>1923.1</v>
      </c>
      <c r="X335">
        <v>1013</v>
      </c>
      <c r="Y335">
        <f>V335-W335</f>
        <v>1013</v>
      </c>
      <c r="Z335" s="12">
        <f>Y335/V335</f>
        <v>0.34501549674738602</v>
      </c>
      <c r="AA335" t="s">
        <v>32</v>
      </c>
      <c r="AB335" t="s">
        <v>33</v>
      </c>
      <c r="AC335" s="10" t="s">
        <v>2796</v>
      </c>
      <c r="AD335" t="s">
        <v>2782</v>
      </c>
      <c r="AE335" t="str">
        <f>PROPER(TRIM(AB335))</f>
        <v>Completed</v>
      </c>
      <c r="AS335" t="str">
        <f t="shared" si="7"/>
        <v/>
      </c>
    </row>
    <row r="336" spans="1:45">
      <c r="A336" t="s">
        <v>1105</v>
      </c>
      <c r="B336" s="7">
        <v>45547</v>
      </c>
      <c r="C336" s="4">
        <v>45552</v>
      </c>
      <c r="D336">
        <f>C336-B336</f>
        <v>5</v>
      </c>
      <c r="E336" t="str">
        <f>TEXT(B336,"mmmm")</f>
        <v>September</v>
      </c>
      <c r="F336">
        <f>YEAR(B336)</f>
        <v>2024</v>
      </c>
      <c r="G336" t="s">
        <v>1106</v>
      </c>
      <c r="H336" t="s">
        <v>62</v>
      </c>
      <c r="I336" t="s">
        <v>24</v>
      </c>
      <c r="J336" t="s">
        <v>38</v>
      </c>
      <c r="K336" t="s">
        <v>228</v>
      </c>
      <c r="L336" t="s">
        <v>229</v>
      </c>
      <c r="M336" t="s">
        <v>28</v>
      </c>
      <c r="N336" t="s">
        <v>124</v>
      </c>
      <c r="O336" t="s">
        <v>1107</v>
      </c>
      <c r="P336" t="s">
        <v>50</v>
      </c>
      <c r="Q336">
        <v>9</v>
      </c>
      <c r="R336">
        <v>1921.47</v>
      </c>
      <c r="S336">
        <v>0.25</v>
      </c>
      <c r="T336" s="12">
        <f>S336</f>
        <v>0.25</v>
      </c>
      <c r="U336">
        <v>12969.92</v>
      </c>
      <c r="V336">
        <f>Q336*R336*(1-S336)</f>
        <v>12969.922500000001</v>
      </c>
      <c r="W336">
        <v>9398.4599999999991</v>
      </c>
      <c r="X336">
        <v>3571.46</v>
      </c>
      <c r="Y336">
        <f>V336-W336</f>
        <v>3571.4625000000015</v>
      </c>
      <c r="Z336" s="12">
        <f>Y336/V336</f>
        <v>0.27536498386941027</v>
      </c>
      <c r="AA336" t="s">
        <v>32</v>
      </c>
      <c r="AB336" t="s">
        <v>33</v>
      </c>
      <c r="AC336" s="14" t="s">
        <v>2794</v>
      </c>
      <c r="AD336" t="s">
        <v>2782</v>
      </c>
      <c r="AE336" t="str">
        <f>PROPER(TRIM(AB336))</f>
        <v>Completed</v>
      </c>
      <c r="AS336" t="str">
        <f t="shared" si="7"/>
        <v/>
      </c>
    </row>
    <row r="337" spans="1:45">
      <c r="A337" t="s">
        <v>1108</v>
      </c>
      <c r="B337" s="7">
        <v>45824</v>
      </c>
      <c r="C337" s="4">
        <v>45826</v>
      </c>
      <c r="D337">
        <f>C337-B337</f>
        <v>2</v>
      </c>
      <c r="E337" t="str">
        <f>TEXT(B337,"mmmm")</f>
        <v>June</v>
      </c>
      <c r="F337">
        <f>YEAR(B337)</f>
        <v>2025</v>
      </c>
      <c r="G337" t="s">
        <v>1109</v>
      </c>
      <c r="H337" t="s">
        <v>118</v>
      </c>
      <c r="I337" t="s">
        <v>95</v>
      </c>
      <c r="J337" t="s">
        <v>63</v>
      </c>
      <c r="K337" t="s">
        <v>72</v>
      </c>
      <c r="L337" t="s">
        <v>73</v>
      </c>
      <c r="M337" t="s">
        <v>28</v>
      </c>
      <c r="N337" t="s">
        <v>29</v>
      </c>
      <c r="O337" t="s">
        <v>1110</v>
      </c>
      <c r="P337" t="s">
        <v>50</v>
      </c>
      <c r="Q337">
        <v>3</v>
      </c>
      <c r="R337">
        <v>4289.37</v>
      </c>
      <c r="S337">
        <v>0.1</v>
      </c>
      <c r="T337" s="12">
        <f>S337</f>
        <v>0.1</v>
      </c>
      <c r="U337">
        <v>11581.3</v>
      </c>
      <c r="V337">
        <f>Q337*R337*(1-S337)</f>
        <v>11581.299000000001</v>
      </c>
      <c r="W337">
        <v>6829.43</v>
      </c>
      <c r="X337">
        <v>4751.87</v>
      </c>
      <c r="Y337">
        <f>V337-W337</f>
        <v>4751.8690000000006</v>
      </c>
      <c r="Z337" s="12">
        <f>Y337/V337</f>
        <v>0.41030535521101735</v>
      </c>
      <c r="AA337" t="s">
        <v>32</v>
      </c>
      <c r="AB337" t="s">
        <v>33</v>
      </c>
      <c r="AC337" s="14" t="s">
        <v>2794</v>
      </c>
      <c r="AD337" t="s">
        <v>2782</v>
      </c>
      <c r="AE337" t="str">
        <f>PROPER(TRIM(AB337))</f>
        <v>Completed</v>
      </c>
      <c r="AS337" t="str">
        <f t="shared" si="7"/>
        <v/>
      </c>
    </row>
    <row r="338" spans="1:45">
      <c r="A338" t="s">
        <v>1111</v>
      </c>
      <c r="B338" s="7">
        <v>45368</v>
      </c>
      <c r="C338" s="4">
        <v>45372</v>
      </c>
      <c r="D338">
        <f>C338-B338</f>
        <v>4</v>
      </c>
      <c r="E338" t="str">
        <f>TEXT(B338,"mmmm")</f>
        <v>March</v>
      </c>
      <c r="F338">
        <f>YEAR(B338)</f>
        <v>2024</v>
      </c>
      <c r="G338" t="s">
        <v>863</v>
      </c>
      <c r="H338" t="s">
        <v>128</v>
      </c>
      <c r="I338" t="s">
        <v>24</v>
      </c>
      <c r="J338" t="s">
        <v>25</v>
      </c>
      <c r="K338" t="s">
        <v>26</v>
      </c>
      <c r="L338" t="s">
        <v>27</v>
      </c>
      <c r="M338" t="s">
        <v>74</v>
      </c>
      <c r="N338" t="s">
        <v>80</v>
      </c>
      <c r="O338" t="s">
        <v>1112</v>
      </c>
      <c r="P338" t="s">
        <v>50</v>
      </c>
      <c r="Q338">
        <v>8</v>
      </c>
      <c r="R338">
        <v>1992.57</v>
      </c>
      <c r="S338">
        <v>0</v>
      </c>
      <c r="T338" s="12">
        <f>S338</f>
        <v>0</v>
      </c>
      <c r="U338">
        <v>15940.56</v>
      </c>
      <c r="V338">
        <f>Q338*R338*(1-S338)</f>
        <v>15940.56</v>
      </c>
      <c r="W338">
        <v>12347.15</v>
      </c>
      <c r="X338">
        <v>3593.41</v>
      </c>
      <c r="Y338">
        <f>V338-W338</f>
        <v>3593.41</v>
      </c>
      <c r="Z338" s="12">
        <f>Y338/V338</f>
        <v>0.2254255810335396</v>
      </c>
      <c r="AA338" t="s">
        <v>32</v>
      </c>
      <c r="AB338" t="s">
        <v>33</v>
      </c>
      <c r="AC338" s="14" t="s">
        <v>2794</v>
      </c>
      <c r="AD338" t="s">
        <v>2782</v>
      </c>
      <c r="AE338" t="str">
        <f>PROPER(TRIM(AB338))</f>
        <v>Completed</v>
      </c>
      <c r="AS338" t="str">
        <f t="shared" si="7"/>
        <v/>
      </c>
    </row>
    <row r="339" spans="1:45">
      <c r="A339" t="s">
        <v>1113</v>
      </c>
      <c r="B339" s="7">
        <v>45516</v>
      </c>
      <c r="C339" s="4">
        <v>45522</v>
      </c>
      <c r="D339">
        <f>C339-B339</f>
        <v>6</v>
      </c>
      <c r="E339" t="str">
        <f>TEXT(B339,"mmmm")</f>
        <v>August</v>
      </c>
      <c r="F339">
        <f>YEAR(B339)</f>
        <v>2024</v>
      </c>
      <c r="G339" t="s">
        <v>1114</v>
      </c>
      <c r="H339" t="s">
        <v>62</v>
      </c>
      <c r="I339" t="s">
        <v>24</v>
      </c>
      <c r="J339" t="s">
        <v>38</v>
      </c>
      <c r="K339" t="s">
        <v>166</v>
      </c>
      <c r="L339" t="s">
        <v>167</v>
      </c>
      <c r="M339" t="s">
        <v>28</v>
      </c>
      <c r="N339" t="s">
        <v>91</v>
      </c>
      <c r="O339" t="s">
        <v>1115</v>
      </c>
      <c r="P339" t="s">
        <v>44</v>
      </c>
      <c r="Q339">
        <v>6</v>
      </c>
      <c r="R339">
        <v>1181.74</v>
      </c>
      <c r="S339">
        <v>0</v>
      </c>
      <c r="T339" s="12">
        <f>S339</f>
        <v>0</v>
      </c>
      <c r="U339">
        <v>7090.44</v>
      </c>
      <c r="V339">
        <f>Q339*R339*(1-S339)</f>
        <v>7090.4400000000005</v>
      </c>
      <c r="W339">
        <v>5672.27</v>
      </c>
      <c r="X339">
        <v>1262.8699999999999</v>
      </c>
      <c r="Y339">
        <f>V339-W339</f>
        <v>1418.17</v>
      </c>
      <c r="Z339" s="12">
        <f>Y339/V339</f>
        <v>0.20001156486762456</v>
      </c>
      <c r="AA339" t="s">
        <v>32</v>
      </c>
      <c r="AB339" t="s">
        <v>33</v>
      </c>
      <c r="AC339" s="14" t="s">
        <v>2794</v>
      </c>
      <c r="AD339" t="s">
        <v>2782</v>
      </c>
      <c r="AE339" t="str">
        <f>PROPER(TRIM(AB339))</f>
        <v>Completed</v>
      </c>
      <c r="AS339" t="str">
        <f t="shared" si="7"/>
        <v/>
      </c>
    </row>
    <row r="340" spans="1:45">
      <c r="A340" t="s">
        <v>1116</v>
      </c>
      <c r="B340" s="7">
        <v>45634</v>
      </c>
      <c r="C340" s="4">
        <v>45516</v>
      </c>
      <c r="D340" s="10">
        <f>C340-B340</f>
        <v>-118</v>
      </c>
      <c r="E340" t="str">
        <f>TEXT(B340,"mmmm")</f>
        <v>December</v>
      </c>
      <c r="F340">
        <f>YEAR(B340)</f>
        <v>2024</v>
      </c>
      <c r="G340" t="s">
        <v>1117</v>
      </c>
      <c r="H340" t="s">
        <v>53</v>
      </c>
      <c r="I340" t="s">
        <v>37</v>
      </c>
      <c r="J340" t="s">
        <v>54</v>
      </c>
      <c r="K340" t="s">
        <v>84</v>
      </c>
      <c r="L340" t="s">
        <v>85</v>
      </c>
      <c r="M340" t="s">
        <v>74</v>
      </c>
      <c r="N340" t="s">
        <v>75</v>
      </c>
      <c r="O340" t="s">
        <v>1118</v>
      </c>
      <c r="P340" t="s">
        <v>50</v>
      </c>
      <c r="Q340">
        <v>8</v>
      </c>
      <c r="R340">
        <v>4402.3599999999997</v>
      </c>
      <c r="S340">
        <v>0.25</v>
      </c>
      <c r="T340" s="12">
        <f>S340</f>
        <v>0.25</v>
      </c>
      <c r="U340">
        <v>26414.16</v>
      </c>
      <c r="V340">
        <f>Q340*R340*(1-S340)</f>
        <v>26414.159999999996</v>
      </c>
      <c r="W340">
        <v>21822.53</v>
      </c>
      <c r="X340">
        <v>4591.63</v>
      </c>
      <c r="Y340">
        <f>V340-W340</f>
        <v>4591.6299999999974</v>
      </c>
      <c r="Z340" s="12">
        <f>Y340/V340</f>
        <v>0.17383214154832097</v>
      </c>
      <c r="AA340" t="s">
        <v>32</v>
      </c>
      <c r="AB340" t="s">
        <v>33</v>
      </c>
      <c r="AC340" s="10" t="s">
        <v>2792</v>
      </c>
      <c r="AD340" t="s">
        <v>2782</v>
      </c>
      <c r="AE340" t="str">
        <f>PROPER(TRIM(AB340))</f>
        <v>Completed</v>
      </c>
      <c r="AS340" t="str">
        <f t="shared" si="7"/>
        <v/>
      </c>
    </row>
    <row r="341" spans="1:45">
      <c r="A341" t="s">
        <v>1119</v>
      </c>
      <c r="B341" s="7">
        <v>45708</v>
      </c>
      <c r="C341" s="4">
        <v>45710</v>
      </c>
      <c r="D341">
        <f>C341-B341</f>
        <v>2</v>
      </c>
      <c r="E341" t="str">
        <f>TEXT(B341,"mmmm")</f>
        <v>February</v>
      </c>
      <c r="F341">
        <f>YEAR(B341)</f>
        <v>2025</v>
      </c>
      <c r="G341" t="s">
        <v>1120</v>
      </c>
      <c r="H341" t="s">
        <v>79</v>
      </c>
      <c r="I341" t="s">
        <v>90</v>
      </c>
      <c r="J341" t="s">
        <v>38</v>
      </c>
      <c r="K341" t="s">
        <v>228</v>
      </c>
      <c r="L341" t="s">
        <v>229</v>
      </c>
      <c r="M341" t="s">
        <v>41</v>
      </c>
      <c r="N341" t="s">
        <v>158</v>
      </c>
      <c r="O341" t="s">
        <v>1121</v>
      </c>
      <c r="P341" t="s">
        <v>59</v>
      </c>
      <c r="Q341">
        <v>8</v>
      </c>
      <c r="R341">
        <v>3265.76</v>
      </c>
      <c r="S341">
        <v>0.2</v>
      </c>
      <c r="T341" s="12">
        <f>S341</f>
        <v>0.2</v>
      </c>
      <c r="U341">
        <v>20900.86</v>
      </c>
      <c r="V341">
        <f>Q341*R341*(1-S341)</f>
        <v>20900.864000000001</v>
      </c>
      <c r="W341">
        <v>12513.14</v>
      </c>
      <c r="X341">
        <v>8387.7199999999993</v>
      </c>
      <c r="Y341">
        <f>V341-W341</f>
        <v>8387.724000000002</v>
      </c>
      <c r="Z341" s="12">
        <f>Y341/V341</f>
        <v>0.40130991714026759</v>
      </c>
      <c r="AA341" t="s">
        <v>32</v>
      </c>
      <c r="AB341" t="s">
        <v>33</v>
      </c>
      <c r="AC341" s="14" t="s">
        <v>2794</v>
      </c>
      <c r="AD341" t="s">
        <v>2782</v>
      </c>
      <c r="AE341" t="str">
        <f>PROPER(TRIM(AB341))</f>
        <v>Completed</v>
      </c>
      <c r="AS341" t="str">
        <f t="shared" si="7"/>
        <v/>
      </c>
    </row>
    <row r="342" spans="1:45">
      <c r="A342" t="s">
        <v>1122</v>
      </c>
      <c r="B342" s="7">
        <v>45312</v>
      </c>
      <c r="C342" s="4">
        <v>45320</v>
      </c>
      <c r="D342">
        <f>C342-B342</f>
        <v>8</v>
      </c>
      <c r="E342" t="str">
        <f>TEXT(B342,"mmmm")</f>
        <v>January</v>
      </c>
      <c r="F342">
        <f>YEAR(B342)</f>
        <v>2024</v>
      </c>
      <c r="G342" t="s">
        <v>1123</v>
      </c>
      <c r="H342" t="s">
        <v>79</v>
      </c>
      <c r="I342" t="s">
        <v>24</v>
      </c>
      <c r="J342" t="s">
        <v>54</v>
      </c>
      <c r="K342" t="s">
        <v>175</v>
      </c>
      <c r="L342" t="s">
        <v>176</v>
      </c>
      <c r="M342" t="s">
        <v>28</v>
      </c>
      <c r="N342" t="s">
        <v>153</v>
      </c>
      <c r="O342" t="s">
        <v>1124</v>
      </c>
      <c r="P342" t="s">
        <v>59</v>
      </c>
      <c r="Q342">
        <v>5</v>
      </c>
      <c r="R342">
        <v>4058.08</v>
      </c>
      <c r="S342">
        <v>0.1</v>
      </c>
      <c r="T342" s="12">
        <f>S342</f>
        <v>0.1</v>
      </c>
      <c r="U342">
        <v>18261.36</v>
      </c>
      <c r="V342">
        <f>Q342*R342*(1-S342)</f>
        <v>18261.36</v>
      </c>
      <c r="W342">
        <v>11399.94</v>
      </c>
      <c r="X342">
        <v>6861.42</v>
      </c>
      <c r="Y342">
        <f>V342-W342</f>
        <v>6861.42</v>
      </c>
      <c r="Z342" s="12">
        <f>Y342/V342</f>
        <v>0.3757343374206521</v>
      </c>
      <c r="AA342" t="s">
        <v>32</v>
      </c>
      <c r="AB342" t="s">
        <v>33</v>
      </c>
      <c r="AC342" s="14" t="s">
        <v>2794</v>
      </c>
      <c r="AD342" t="s">
        <v>2782</v>
      </c>
      <c r="AE342" t="str">
        <f>PROPER(TRIM(AB342))</f>
        <v>Completed</v>
      </c>
      <c r="AS342" t="str">
        <f t="shared" si="7"/>
        <v/>
      </c>
    </row>
    <row r="343" spans="1:45">
      <c r="A343" t="s">
        <v>1125</v>
      </c>
      <c r="B343" s="7">
        <v>45908</v>
      </c>
      <c r="C343" s="4">
        <v>45909</v>
      </c>
      <c r="D343">
        <f>C343-B343</f>
        <v>1</v>
      </c>
      <c r="E343" t="str">
        <f>TEXT(B343,"mmmm")</f>
        <v>September</v>
      </c>
      <c r="F343">
        <f>YEAR(B343)</f>
        <v>2025</v>
      </c>
      <c r="G343" t="s">
        <v>1126</v>
      </c>
      <c r="H343" t="s">
        <v>141</v>
      </c>
      <c r="I343" t="s">
        <v>95</v>
      </c>
      <c r="J343" t="s">
        <v>63</v>
      </c>
      <c r="K343" t="s">
        <v>180</v>
      </c>
      <c r="L343" t="s">
        <v>181</v>
      </c>
      <c r="M343" t="s">
        <v>41</v>
      </c>
      <c r="N343" t="s">
        <v>66</v>
      </c>
      <c r="O343" t="s">
        <v>1127</v>
      </c>
      <c r="P343" t="s">
        <v>31</v>
      </c>
      <c r="Q343">
        <v>2</v>
      </c>
      <c r="R343">
        <v>3960.33</v>
      </c>
      <c r="S343">
        <v>0.05</v>
      </c>
      <c r="T343" s="12">
        <f>S343</f>
        <v>0.05</v>
      </c>
      <c r="U343">
        <v>7524.63</v>
      </c>
      <c r="V343">
        <f>Q343*R343*(1-S343)</f>
        <v>7524.6269999999995</v>
      </c>
      <c r="W343">
        <v>6229.6</v>
      </c>
      <c r="X343">
        <v>1295.03</v>
      </c>
      <c r="Y343">
        <f>V343-W343</f>
        <v>1295.0269999999991</v>
      </c>
      <c r="Z343" s="12">
        <f>Y343/V343</f>
        <v>0.17210514222166751</v>
      </c>
      <c r="AA343" t="s">
        <v>32</v>
      </c>
      <c r="AB343" t="s">
        <v>33</v>
      </c>
      <c r="AC343" s="14" t="s">
        <v>2794</v>
      </c>
      <c r="AD343" t="s">
        <v>2782</v>
      </c>
      <c r="AE343" t="str">
        <f>PROPER(TRIM(AB343))</f>
        <v>Completed</v>
      </c>
      <c r="AS343" t="str">
        <f t="shared" si="7"/>
        <v/>
      </c>
    </row>
    <row r="344" spans="1:45">
      <c r="A344" t="s">
        <v>1128</v>
      </c>
      <c r="B344" s="7">
        <v>45862</v>
      </c>
      <c r="C344" s="4">
        <v>45870</v>
      </c>
      <c r="D344">
        <f>C344-B344</f>
        <v>8</v>
      </c>
      <c r="E344" t="str">
        <f>TEXT(B344,"mmmm")</f>
        <v>July</v>
      </c>
      <c r="F344">
        <f>YEAR(B344)</f>
        <v>2025</v>
      </c>
      <c r="G344" t="s">
        <v>1129</v>
      </c>
      <c r="H344" t="s">
        <v>264</v>
      </c>
      <c r="I344" t="s">
        <v>37</v>
      </c>
      <c r="J344" t="s">
        <v>38</v>
      </c>
      <c r="K344" t="s">
        <v>228</v>
      </c>
      <c r="L344" t="s">
        <v>229</v>
      </c>
      <c r="M344" t="s">
        <v>28</v>
      </c>
      <c r="N344" t="s">
        <v>153</v>
      </c>
      <c r="O344" t="s">
        <v>1130</v>
      </c>
      <c r="P344" t="s">
        <v>50</v>
      </c>
      <c r="Q344">
        <v>8</v>
      </c>
      <c r="R344">
        <v>1528.92</v>
      </c>
      <c r="S344">
        <v>0</v>
      </c>
      <c r="T344" s="12">
        <f>S344</f>
        <v>0</v>
      </c>
      <c r="U344">
        <v>12231.36</v>
      </c>
      <c r="V344">
        <f>Q344*R344*(1-S344)</f>
        <v>12231.36</v>
      </c>
      <c r="W344">
        <v>8766.9</v>
      </c>
      <c r="X344">
        <v>3464.46</v>
      </c>
      <c r="Y344">
        <f>V344-W344</f>
        <v>3464.4600000000009</v>
      </c>
      <c r="Z344" s="12">
        <f>Y344/V344</f>
        <v>0.28324405462679547</v>
      </c>
      <c r="AA344" t="s">
        <v>32</v>
      </c>
      <c r="AB344" t="s">
        <v>33</v>
      </c>
      <c r="AC344" s="14" t="s">
        <v>2794</v>
      </c>
      <c r="AD344" t="s">
        <v>2782</v>
      </c>
      <c r="AE344" t="str">
        <f>PROPER(TRIM(AB344))</f>
        <v>Completed</v>
      </c>
      <c r="AS344" t="str">
        <f t="shared" si="7"/>
        <v/>
      </c>
    </row>
    <row r="345" spans="1:45">
      <c r="A345" t="s">
        <v>1131</v>
      </c>
      <c r="B345" s="7">
        <v>45726</v>
      </c>
      <c r="C345" s="4">
        <v>45938</v>
      </c>
      <c r="D345">
        <f>C345-B345</f>
        <v>212</v>
      </c>
      <c r="E345" t="str">
        <f>TEXT(B345,"mmmm")</f>
        <v>March</v>
      </c>
      <c r="F345">
        <f>YEAR(B345)</f>
        <v>2025</v>
      </c>
      <c r="G345" t="s">
        <v>1132</v>
      </c>
      <c r="H345" t="s">
        <v>128</v>
      </c>
      <c r="I345" t="s">
        <v>90</v>
      </c>
      <c r="J345" t="s">
        <v>63</v>
      </c>
      <c r="K345" t="s">
        <v>72</v>
      </c>
      <c r="L345" t="s">
        <v>73</v>
      </c>
      <c r="M345" t="s">
        <v>74</v>
      </c>
      <c r="N345" t="s">
        <v>274</v>
      </c>
      <c r="O345" t="s">
        <v>1133</v>
      </c>
      <c r="P345" t="s">
        <v>44</v>
      </c>
      <c r="Q345">
        <v>9</v>
      </c>
      <c r="R345">
        <v>3837</v>
      </c>
      <c r="S345">
        <v>0.1</v>
      </c>
      <c r="T345" s="12">
        <f>S345</f>
        <v>0.1</v>
      </c>
      <c r="U345">
        <v>31079.7</v>
      </c>
      <c r="V345">
        <f>Q345*R345*(1-S345)</f>
        <v>31079.7</v>
      </c>
      <c r="W345">
        <v>17758.25</v>
      </c>
      <c r="X345">
        <v>13321.45</v>
      </c>
      <c r="Y345">
        <f>V345-W345</f>
        <v>13321.45</v>
      </c>
      <c r="Z345" s="12">
        <f>Y345/V345</f>
        <v>0.4286222196481948</v>
      </c>
      <c r="AA345" t="s">
        <v>32</v>
      </c>
      <c r="AB345" t="s">
        <v>33</v>
      </c>
      <c r="AC345" s="14" t="s">
        <v>2794</v>
      </c>
      <c r="AD345" t="s">
        <v>2782</v>
      </c>
      <c r="AE345" t="str">
        <f>PROPER(TRIM(AB345))</f>
        <v>Completed</v>
      </c>
      <c r="AS345" t="str">
        <f t="shared" si="7"/>
        <v/>
      </c>
    </row>
    <row r="346" spans="1:45">
      <c r="A346" t="s">
        <v>1134</v>
      </c>
      <c r="B346" s="7">
        <v>45362</v>
      </c>
      <c r="C346" s="4">
        <v>45362</v>
      </c>
      <c r="D346">
        <f>C346-B346</f>
        <v>0</v>
      </c>
      <c r="E346" t="str">
        <f>TEXT(B346,"mmmm")</f>
        <v>March</v>
      </c>
      <c r="F346">
        <f>YEAR(B346)</f>
        <v>2024</v>
      </c>
      <c r="G346" t="s">
        <v>1135</v>
      </c>
      <c r="H346" t="s">
        <v>114</v>
      </c>
      <c r="I346" t="s">
        <v>24</v>
      </c>
      <c r="J346" t="s">
        <v>25</v>
      </c>
      <c r="K346" t="s">
        <v>122</v>
      </c>
      <c r="L346" t="s">
        <v>123</v>
      </c>
      <c r="M346" t="s">
        <v>41</v>
      </c>
      <c r="N346" t="s">
        <v>158</v>
      </c>
      <c r="O346" t="s">
        <v>1136</v>
      </c>
      <c r="P346" t="s">
        <v>44</v>
      </c>
      <c r="Q346">
        <v>9</v>
      </c>
      <c r="R346">
        <v>3456.38</v>
      </c>
      <c r="S346">
        <v>0</v>
      </c>
      <c r="T346" s="12">
        <f>S346</f>
        <v>0</v>
      </c>
      <c r="U346">
        <v>31107.42</v>
      </c>
      <c r="V346">
        <f>Q346*R346*(1-S346)</f>
        <v>31107.420000000002</v>
      </c>
      <c r="W346">
        <v>20146.66</v>
      </c>
      <c r="X346">
        <v>10960.76</v>
      </c>
      <c r="Y346">
        <f>V346-W346</f>
        <v>10960.760000000002</v>
      </c>
      <c r="Z346" s="12">
        <f>Y346/V346</f>
        <v>0.3523519468988428</v>
      </c>
      <c r="AA346" t="s">
        <v>111</v>
      </c>
      <c r="AB346" t="s">
        <v>103</v>
      </c>
      <c r="AC346" s="14" t="s">
        <v>2794</v>
      </c>
      <c r="AD346" t="s">
        <v>2782</v>
      </c>
      <c r="AE346" t="str">
        <f>PROPER(TRIM(AB346))</f>
        <v>Returned</v>
      </c>
      <c r="AS346" t="str">
        <f t="shared" si="7"/>
        <v/>
      </c>
    </row>
    <row r="347" spans="1:45">
      <c r="A347" t="s">
        <v>1137</v>
      </c>
      <c r="B347" s="7">
        <v>45549</v>
      </c>
      <c r="C347" s="4">
        <v>45557</v>
      </c>
      <c r="D347">
        <f>C347-B347</f>
        <v>8</v>
      </c>
      <c r="E347" t="str">
        <f>TEXT(B347,"mmmm")</f>
        <v>September</v>
      </c>
      <c r="F347">
        <f>YEAR(B347)</f>
        <v>2024</v>
      </c>
      <c r="G347" t="s">
        <v>1138</v>
      </c>
      <c r="H347" t="s">
        <v>23</v>
      </c>
      <c r="I347" t="s">
        <v>24</v>
      </c>
      <c r="J347" t="s">
        <v>63</v>
      </c>
      <c r="K347" t="s">
        <v>72</v>
      </c>
      <c r="L347" t="s">
        <v>73</v>
      </c>
      <c r="M347" t="s">
        <v>41</v>
      </c>
      <c r="N347" t="s">
        <v>57</v>
      </c>
      <c r="O347" t="s">
        <v>1139</v>
      </c>
      <c r="P347" t="s">
        <v>31</v>
      </c>
      <c r="Q347">
        <v>2</v>
      </c>
      <c r="R347">
        <v>2765.3</v>
      </c>
      <c r="S347">
        <v>0</v>
      </c>
      <c r="T347" s="12">
        <f>S347</f>
        <v>0</v>
      </c>
      <c r="U347">
        <v>5530.6</v>
      </c>
      <c r="V347">
        <f>Q347*R347*(1-S347)</f>
        <v>5530.6</v>
      </c>
      <c r="W347">
        <v>4453.1099999999997</v>
      </c>
      <c r="X347">
        <v>1077.49</v>
      </c>
      <c r="Y347">
        <f>V347-W347</f>
        <v>1077.4900000000007</v>
      </c>
      <c r="Z347" s="12">
        <f>Y347/V347</f>
        <v>0.19482334647235391</v>
      </c>
      <c r="AA347" t="s">
        <v>32</v>
      </c>
      <c r="AB347" t="s">
        <v>33</v>
      </c>
      <c r="AC347" s="14" t="s">
        <v>2794</v>
      </c>
      <c r="AD347" t="s">
        <v>2782</v>
      </c>
      <c r="AE347" t="str">
        <f>PROPER(TRIM(AB347))</f>
        <v>Completed</v>
      </c>
      <c r="AS347" t="str">
        <f t="shared" si="7"/>
        <v/>
      </c>
    </row>
    <row r="348" spans="1:45">
      <c r="A348" t="s">
        <v>1140</v>
      </c>
      <c r="B348" s="7">
        <v>45860</v>
      </c>
      <c r="C348" s="4">
        <v>45866</v>
      </c>
      <c r="D348">
        <f>C348-B348</f>
        <v>6</v>
      </c>
      <c r="E348" t="str">
        <f>TEXT(B348,"mmmm")</f>
        <v>July</v>
      </c>
      <c r="F348">
        <f>YEAR(B348)</f>
        <v>2025</v>
      </c>
      <c r="G348" t="s">
        <v>1141</v>
      </c>
      <c r="H348" t="s">
        <v>118</v>
      </c>
      <c r="I348" t="s">
        <v>90</v>
      </c>
      <c r="J348" t="s">
        <v>54</v>
      </c>
      <c r="K348" t="s">
        <v>185</v>
      </c>
      <c r="L348" t="s">
        <v>186</v>
      </c>
      <c r="M348" t="s">
        <v>41</v>
      </c>
      <c r="N348" t="s">
        <v>66</v>
      </c>
      <c r="O348" t="s">
        <v>1142</v>
      </c>
      <c r="P348" t="s">
        <v>31</v>
      </c>
      <c r="Q348">
        <v>6</v>
      </c>
      <c r="R348">
        <v>1607.46</v>
      </c>
      <c r="S348">
        <v>0.2</v>
      </c>
      <c r="T348" s="12">
        <f>S348</f>
        <v>0.2</v>
      </c>
      <c r="U348">
        <v>7715.81</v>
      </c>
      <c r="V348">
        <f>Q348*R348*(1-S348)</f>
        <v>7715.8080000000009</v>
      </c>
      <c r="W348">
        <v>4258.42</v>
      </c>
      <c r="X348">
        <v>3457.39</v>
      </c>
      <c r="Y348">
        <f>V348-W348</f>
        <v>3457.3880000000008</v>
      </c>
      <c r="Z348" s="12">
        <f>Y348/V348</f>
        <v>0.4480915025360922</v>
      </c>
      <c r="AA348" t="s">
        <v>32</v>
      </c>
      <c r="AB348" t="s">
        <v>33</v>
      </c>
      <c r="AC348" s="14" t="s">
        <v>2794</v>
      </c>
      <c r="AD348" t="s">
        <v>2782</v>
      </c>
      <c r="AE348" t="str">
        <f>PROPER(TRIM(AB348))</f>
        <v>Completed</v>
      </c>
      <c r="AS348" t="str">
        <f t="shared" si="7"/>
        <v/>
      </c>
    </row>
    <row r="349" spans="1:45">
      <c r="A349" t="s">
        <v>1143</v>
      </c>
      <c r="B349" s="7">
        <v>45627</v>
      </c>
      <c r="C349" s="4">
        <v>45516</v>
      </c>
      <c r="D349" s="10">
        <f>C349-B349</f>
        <v>-111</v>
      </c>
      <c r="E349" t="str">
        <f>TEXT(B349,"mmmm")</f>
        <v>December</v>
      </c>
      <c r="F349">
        <f>YEAR(B349)</f>
        <v>2024</v>
      </c>
      <c r="G349" t="s">
        <v>1144</v>
      </c>
      <c r="H349" t="s">
        <v>128</v>
      </c>
      <c r="I349" t="s">
        <v>37</v>
      </c>
      <c r="J349" t="s">
        <v>63</v>
      </c>
      <c r="K349" t="s">
        <v>190</v>
      </c>
      <c r="L349" t="s">
        <v>191</v>
      </c>
      <c r="M349" t="s">
        <v>41</v>
      </c>
      <c r="N349" t="s">
        <v>66</v>
      </c>
      <c r="O349" t="s">
        <v>1145</v>
      </c>
      <c r="P349" t="s">
        <v>31</v>
      </c>
      <c r="Q349">
        <v>5</v>
      </c>
      <c r="R349">
        <v>2981.49</v>
      </c>
      <c r="S349">
        <v>0.2</v>
      </c>
      <c r="T349" s="12">
        <f>S349</f>
        <v>0.2</v>
      </c>
      <c r="U349">
        <v>11925.96</v>
      </c>
      <c r="V349">
        <f>Q349*R349*(1-S349)</f>
        <v>11925.96</v>
      </c>
      <c r="W349">
        <v>10103.51</v>
      </c>
      <c r="X349">
        <v>1822.45</v>
      </c>
      <c r="Y349">
        <f>V349-W349</f>
        <v>1822.4499999999989</v>
      </c>
      <c r="Z349" s="12">
        <f>Y349/V349</f>
        <v>0.15281369382422874</v>
      </c>
      <c r="AA349" t="s">
        <v>102</v>
      </c>
      <c r="AB349" t="s">
        <v>103</v>
      </c>
      <c r="AC349" s="10" t="s">
        <v>2792</v>
      </c>
      <c r="AD349" t="s">
        <v>2782</v>
      </c>
      <c r="AE349" t="str">
        <f>PROPER(TRIM(AB349))</f>
        <v>Returned</v>
      </c>
      <c r="AS349" t="str">
        <f t="shared" si="7"/>
        <v/>
      </c>
    </row>
    <row r="350" spans="1:45">
      <c r="A350" t="s">
        <v>1146</v>
      </c>
      <c r="B350" s="7">
        <v>45328</v>
      </c>
      <c r="C350" s="4">
        <v>45479</v>
      </c>
      <c r="D350">
        <f>C350-B350</f>
        <v>151</v>
      </c>
      <c r="E350" t="str">
        <f>TEXT(B350,"mmmm")</f>
        <v>February</v>
      </c>
      <c r="F350">
        <f>YEAR(B350)</f>
        <v>2024</v>
      </c>
      <c r="G350" t="s">
        <v>1147</v>
      </c>
      <c r="H350" t="s">
        <v>128</v>
      </c>
      <c r="I350" t="s">
        <v>90</v>
      </c>
      <c r="J350" t="s">
        <v>54</v>
      </c>
      <c r="K350" t="s">
        <v>175</v>
      </c>
      <c r="L350" t="s">
        <v>176</v>
      </c>
      <c r="M350" t="s">
        <v>74</v>
      </c>
      <c r="N350" t="s">
        <v>171</v>
      </c>
      <c r="O350" t="s">
        <v>1148</v>
      </c>
      <c r="P350" t="s">
        <v>44</v>
      </c>
      <c r="Q350">
        <v>9</v>
      </c>
      <c r="R350">
        <v>2860.26</v>
      </c>
      <c r="S350">
        <v>0.25</v>
      </c>
      <c r="T350" s="12">
        <f>S350</f>
        <v>0.25</v>
      </c>
      <c r="U350">
        <v>19306.759999999998</v>
      </c>
      <c r="V350">
        <f>Q350*R350*(1-S350)</f>
        <v>19306.755000000005</v>
      </c>
      <c r="W350">
        <v>14442.38</v>
      </c>
      <c r="X350">
        <v>4864.38</v>
      </c>
      <c r="Y350">
        <f>V350-W350</f>
        <v>4864.3750000000055</v>
      </c>
      <c r="Z350" s="12">
        <f>Y350/V350</f>
        <v>0.25195197225012717</v>
      </c>
      <c r="AA350" t="s">
        <v>32</v>
      </c>
      <c r="AB350" t="s">
        <v>33</v>
      </c>
      <c r="AC350" s="14" t="s">
        <v>2794</v>
      </c>
      <c r="AD350" t="s">
        <v>2782</v>
      </c>
      <c r="AE350" t="str">
        <f>PROPER(TRIM(AB350))</f>
        <v>Completed</v>
      </c>
      <c r="AS350" t="str">
        <f t="shared" si="7"/>
        <v/>
      </c>
    </row>
    <row r="351" spans="1:45">
      <c r="A351" t="s">
        <v>1149</v>
      </c>
      <c r="B351" s="7">
        <v>45927</v>
      </c>
      <c r="C351" s="4">
        <v>45929</v>
      </c>
      <c r="D351">
        <f>C351-B351</f>
        <v>2</v>
      </c>
      <c r="E351" t="str">
        <f>TEXT(B351,"mmmm")</f>
        <v>September</v>
      </c>
      <c r="F351">
        <f>YEAR(B351)</f>
        <v>2025</v>
      </c>
      <c r="G351" t="s">
        <v>1150</v>
      </c>
      <c r="H351" t="s">
        <v>264</v>
      </c>
      <c r="I351" t="s">
        <v>95</v>
      </c>
      <c r="J351" t="s">
        <v>38</v>
      </c>
      <c r="K351" t="s">
        <v>228</v>
      </c>
      <c r="L351" t="s">
        <v>229</v>
      </c>
      <c r="M351" t="s">
        <v>41</v>
      </c>
      <c r="N351" t="s">
        <v>57</v>
      </c>
      <c r="O351" t="s">
        <v>1151</v>
      </c>
      <c r="P351" t="s">
        <v>31</v>
      </c>
      <c r="Q351">
        <v>9</v>
      </c>
      <c r="R351">
        <v>2867.55</v>
      </c>
      <c r="S351">
        <v>0.25</v>
      </c>
      <c r="T351" s="12">
        <f>S351</f>
        <v>0.25</v>
      </c>
      <c r="U351">
        <v>19355.96</v>
      </c>
      <c r="V351">
        <f>Q351*R351*(1-S351)</f>
        <v>19355.962500000001</v>
      </c>
      <c r="W351">
        <v>15012.45</v>
      </c>
      <c r="X351">
        <v>4017.4</v>
      </c>
      <c r="Y351">
        <f>V351-W351</f>
        <v>4343.5125000000007</v>
      </c>
      <c r="Z351" s="12">
        <f>Y351/V351</f>
        <v>0.22440178317146461</v>
      </c>
      <c r="AA351" t="s">
        <v>32</v>
      </c>
      <c r="AB351" t="s">
        <v>33</v>
      </c>
      <c r="AC351" s="14" t="s">
        <v>2794</v>
      </c>
      <c r="AD351" t="s">
        <v>2782</v>
      </c>
      <c r="AE351" t="str">
        <f>PROPER(TRIM(AB351))</f>
        <v>Completed</v>
      </c>
      <c r="AS351" t="str">
        <f t="shared" si="7"/>
        <v/>
      </c>
    </row>
    <row r="352" spans="1:45">
      <c r="A352" t="s">
        <v>1152</v>
      </c>
      <c r="B352" s="7">
        <v>45298</v>
      </c>
      <c r="C352" s="4">
        <v>45305</v>
      </c>
      <c r="D352">
        <f>C352-B352</f>
        <v>7</v>
      </c>
      <c r="E352" t="str">
        <f>TEXT(B352,"mmmm")</f>
        <v>January</v>
      </c>
      <c r="F352">
        <f>YEAR(B352)</f>
        <v>2024</v>
      </c>
      <c r="G352" t="s">
        <v>1153</v>
      </c>
      <c r="H352" t="s">
        <v>132</v>
      </c>
      <c r="I352" t="s">
        <v>37</v>
      </c>
      <c r="J352" t="s">
        <v>38</v>
      </c>
      <c r="K352" t="s">
        <v>228</v>
      </c>
      <c r="L352" t="s">
        <v>229</v>
      </c>
      <c r="M352" t="s">
        <v>41</v>
      </c>
      <c r="N352" t="s">
        <v>57</v>
      </c>
      <c r="O352" t="s">
        <v>1154</v>
      </c>
      <c r="P352" t="s">
        <v>31</v>
      </c>
      <c r="Q352">
        <v>4</v>
      </c>
      <c r="R352">
        <v>3309.54</v>
      </c>
      <c r="S352">
        <v>0.1</v>
      </c>
      <c r="T352" s="12">
        <f>S352</f>
        <v>0.1</v>
      </c>
      <c r="U352">
        <v>11914.34</v>
      </c>
      <c r="V352">
        <f>Q352*R352*(1-S352)</f>
        <v>11914.344000000001</v>
      </c>
      <c r="W352">
        <v>9771.24</v>
      </c>
      <c r="X352">
        <v>2143.1</v>
      </c>
      <c r="Y352">
        <f>V352-W352</f>
        <v>2143.1040000000012</v>
      </c>
      <c r="Z352" s="12">
        <f>Y352/V352</f>
        <v>0.17987595456367561</v>
      </c>
      <c r="AA352" t="s">
        <v>102</v>
      </c>
      <c r="AB352" t="s">
        <v>103</v>
      </c>
      <c r="AC352" s="14" t="s">
        <v>2794</v>
      </c>
      <c r="AD352" t="s">
        <v>2782</v>
      </c>
      <c r="AE352" t="str">
        <f>PROPER(TRIM(AB352))</f>
        <v>Returned</v>
      </c>
      <c r="AS352" t="str">
        <f t="shared" si="7"/>
        <v/>
      </c>
    </row>
    <row r="353" spans="1:45">
      <c r="A353" t="s">
        <v>1155</v>
      </c>
      <c r="B353" s="7">
        <v>45800</v>
      </c>
      <c r="C353" s="4">
        <v>45804</v>
      </c>
      <c r="D353">
        <f>C353-B353</f>
        <v>4</v>
      </c>
      <c r="E353" t="str">
        <f>TEXT(B353,"mmmm")</f>
        <v>May</v>
      </c>
      <c r="F353">
        <f>YEAR(B353)</f>
        <v>2025</v>
      </c>
      <c r="G353" t="s">
        <v>1156</v>
      </c>
      <c r="H353" t="s">
        <v>71</v>
      </c>
      <c r="I353" t="s">
        <v>37</v>
      </c>
      <c r="J353" t="s">
        <v>54</v>
      </c>
      <c r="K353" t="s">
        <v>55</v>
      </c>
      <c r="L353" t="s">
        <v>56</v>
      </c>
      <c r="M353" t="s">
        <v>28</v>
      </c>
      <c r="N353" t="s">
        <v>124</v>
      </c>
      <c r="O353" t="s">
        <v>1157</v>
      </c>
      <c r="P353" t="s">
        <v>50</v>
      </c>
      <c r="Q353">
        <v>6</v>
      </c>
      <c r="R353">
        <v>719.44</v>
      </c>
      <c r="S353">
        <v>0.25</v>
      </c>
      <c r="T353" s="12">
        <f>S353</f>
        <v>0.25</v>
      </c>
      <c r="U353">
        <v>3237.48</v>
      </c>
      <c r="V353">
        <f>Q353*R353*(1-S353)</f>
        <v>3237.4800000000005</v>
      </c>
      <c r="W353">
        <v>2118.34</v>
      </c>
      <c r="X353">
        <v>1119.1400000000001</v>
      </c>
      <c r="Y353">
        <f>V353-W353</f>
        <v>1119.1400000000003</v>
      </c>
      <c r="Z353" s="12">
        <f>Y353/V353</f>
        <v>0.34568244437031276</v>
      </c>
      <c r="AA353" t="s">
        <v>111</v>
      </c>
      <c r="AB353" t="s">
        <v>68</v>
      </c>
      <c r="AC353" s="14" t="s">
        <v>2794</v>
      </c>
      <c r="AD353" t="s">
        <v>2782</v>
      </c>
      <c r="AE353" t="str">
        <f>PROPER(TRIM(AB353))</f>
        <v>Cancelled</v>
      </c>
      <c r="AS353" t="str">
        <f t="shared" si="7"/>
        <v/>
      </c>
    </row>
    <row r="354" spans="1:45">
      <c r="A354" t="s">
        <v>1158</v>
      </c>
      <c r="B354" s="7">
        <v>45884</v>
      </c>
      <c r="C354" s="4">
        <v>45886</v>
      </c>
      <c r="D354">
        <f>C354-B354</f>
        <v>2</v>
      </c>
      <c r="E354" t="str">
        <f>TEXT(B354,"mmmm")</f>
        <v>August</v>
      </c>
      <c r="F354">
        <f>YEAR(B354)</f>
        <v>2025</v>
      </c>
      <c r="G354" t="s">
        <v>1159</v>
      </c>
      <c r="H354" t="s">
        <v>162</v>
      </c>
      <c r="I354" t="s">
        <v>37</v>
      </c>
      <c r="J354" t="s">
        <v>38</v>
      </c>
      <c r="K354" t="s">
        <v>166</v>
      </c>
      <c r="L354" t="s">
        <v>167</v>
      </c>
      <c r="M354" t="s">
        <v>74</v>
      </c>
      <c r="N354" t="s">
        <v>80</v>
      </c>
      <c r="O354" t="s">
        <v>1160</v>
      </c>
      <c r="P354" t="s">
        <v>50</v>
      </c>
      <c r="Q354">
        <v>5</v>
      </c>
      <c r="R354">
        <v>2862.6</v>
      </c>
      <c r="S354">
        <v>0.25</v>
      </c>
      <c r="T354" s="12">
        <f>S354</f>
        <v>0.25</v>
      </c>
      <c r="U354">
        <v>10734.75</v>
      </c>
      <c r="V354">
        <f>Q354*R354*(1-S354)</f>
        <v>10734.75</v>
      </c>
      <c r="W354">
        <v>6475.73</v>
      </c>
      <c r="X354">
        <v>4259.0200000000004</v>
      </c>
      <c r="Y354">
        <f>V354-W354</f>
        <v>4259.0200000000004</v>
      </c>
      <c r="Z354" s="12">
        <f>Y354/V354</f>
        <v>0.39675073942103917</v>
      </c>
      <c r="AA354" t="s">
        <v>32</v>
      </c>
      <c r="AB354" t="s">
        <v>33</v>
      </c>
      <c r="AC354" s="14" t="s">
        <v>2794</v>
      </c>
      <c r="AD354" t="s">
        <v>2782</v>
      </c>
      <c r="AE354" t="str">
        <f>PROPER(TRIM(AB354))</f>
        <v>Completed</v>
      </c>
      <c r="AS354" t="str">
        <f t="shared" si="7"/>
        <v/>
      </c>
    </row>
    <row r="355" spans="1:45">
      <c r="A355" t="s">
        <v>1161</v>
      </c>
      <c r="B355" s="7">
        <v>45709</v>
      </c>
      <c r="C355" s="4">
        <v>45715</v>
      </c>
      <c r="D355">
        <f>C355-B355</f>
        <v>6</v>
      </c>
      <c r="E355" t="str">
        <f>TEXT(B355,"mmmm")</f>
        <v>February</v>
      </c>
      <c r="F355">
        <f>YEAR(B355)</f>
        <v>2025</v>
      </c>
      <c r="G355" t="s">
        <v>1162</v>
      </c>
      <c r="H355" t="s">
        <v>62</v>
      </c>
      <c r="I355" t="s">
        <v>24</v>
      </c>
      <c r="J355" t="s">
        <v>25</v>
      </c>
      <c r="K355" t="s">
        <v>26</v>
      </c>
      <c r="L355" t="s">
        <v>27</v>
      </c>
      <c r="M355" t="s">
        <v>28</v>
      </c>
      <c r="N355" t="s">
        <v>48</v>
      </c>
      <c r="O355" t="s">
        <v>1163</v>
      </c>
      <c r="P355" t="s">
        <v>44</v>
      </c>
      <c r="Q355">
        <v>9</v>
      </c>
      <c r="R355">
        <v>1431.67</v>
      </c>
      <c r="S355">
        <v>0.2</v>
      </c>
      <c r="T355" s="12">
        <f>S355</f>
        <v>0.2</v>
      </c>
      <c r="U355">
        <v>10308.02</v>
      </c>
      <c r="V355">
        <f>Q355*R355*(1-S355)</f>
        <v>10308.024000000001</v>
      </c>
      <c r="W355">
        <v>5822.31</v>
      </c>
      <c r="X355">
        <v>4485.71</v>
      </c>
      <c r="Y355">
        <f>V355-W355</f>
        <v>4485.7140000000009</v>
      </c>
      <c r="Z355" s="12">
        <f>Y355/V355</f>
        <v>0.4351672056642476</v>
      </c>
      <c r="AA355" t="s">
        <v>32</v>
      </c>
      <c r="AB355" t="s">
        <v>33</v>
      </c>
      <c r="AC355" s="14" t="s">
        <v>2794</v>
      </c>
      <c r="AD355" t="s">
        <v>2782</v>
      </c>
      <c r="AE355" t="str">
        <f>PROPER(TRIM(AB355))</f>
        <v>Completed</v>
      </c>
      <c r="AS355" t="str">
        <f t="shared" si="7"/>
        <v/>
      </c>
    </row>
    <row r="356" spans="1:45">
      <c r="A356" t="s">
        <v>1164</v>
      </c>
      <c r="B356" s="7">
        <v>45653</v>
      </c>
      <c r="C356" s="4">
        <v>45657</v>
      </c>
      <c r="D356">
        <f>C356-B356</f>
        <v>4</v>
      </c>
      <c r="E356" t="str">
        <f>TEXT(B356,"mmmm")</f>
        <v>December</v>
      </c>
      <c r="F356">
        <f>YEAR(B356)</f>
        <v>2024</v>
      </c>
      <c r="G356" t="s">
        <v>1165</v>
      </c>
      <c r="H356" t="s">
        <v>264</v>
      </c>
      <c r="I356" t="s">
        <v>90</v>
      </c>
      <c r="J356" t="s">
        <v>25</v>
      </c>
      <c r="K356" t="s">
        <v>122</v>
      </c>
      <c r="L356" t="s">
        <v>123</v>
      </c>
      <c r="M356" t="s">
        <v>41</v>
      </c>
      <c r="N356" t="s">
        <v>57</v>
      </c>
      <c r="O356" t="s">
        <v>1166</v>
      </c>
      <c r="P356" t="s">
        <v>59</v>
      </c>
      <c r="Q356">
        <v>6</v>
      </c>
      <c r="R356">
        <v>3346.78</v>
      </c>
      <c r="S356">
        <v>-0.06</v>
      </c>
      <c r="T356" s="13">
        <f>S356</f>
        <v>-0.06</v>
      </c>
      <c r="U356">
        <v>20080.68</v>
      </c>
      <c r="V356">
        <f>Q356*R356*(1-S356)</f>
        <v>21285.520800000002</v>
      </c>
      <c r="W356">
        <v>12908.84</v>
      </c>
      <c r="X356">
        <v>7171.84</v>
      </c>
      <c r="Y356">
        <f>V356-W356</f>
        <v>8376.6808000000019</v>
      </c>
      <c r="Z356" s="12">
        <f>Y356/V356</f>
        <v>0.39353891683965753</v>
      </c>
      <c r="AA356" t="s">
        <v>111</v>
      </c>
      <c r="AB356" t="s">
        <v>68</v>
      </c>
      <c r="AC356" s="10" t="s">
        <v>2793</v>
      </c>
      <c r="AD356" t="s">
        <v>2782</v>
      </c>
      <c r="AE356" t="str">
        <f>PROPER(TRIM(AB356))</f>
        <v>Cancelled</v>
      </c>
      <c r="AS356" t="str">
        <f t="shared" si="7"/>
        <v/>
      </c>
    </row>
    <row r="357" spans="1:45">
      <c r="A357" t="s">
        <v>1167</v>
      </c>
      <c r="B357" s="7">
        <v>45424</v>
      </c>
      <c r="C357" s="4">
        <v>45421</v>
      </c>
      <c r="D357" s="10">
        <f>C357-B357</f>
        <v>-3</v>
      </c>
      <c r="E357" t="str">
        <f>TEXT(B357,"mmmm")</f>
        <v>May</v>
      </c>
      <c r="F357">
        <f>YEAR(B357)</f>
        <v>2024</v>
      </c>
      <c r="G357" t="s">
        <v>1168</v>
      </c>
      <c r="H357" t="s">
        <v>114</v>
      </c>
      <c r="I357" t="s">
        <v>90</v>
      </c>
      <c r="J357" t="s">
        <v>63</v>
      </c>
      <c r="K357" t="s">
        <v>26</v>
      </c>
      <c r="L357" t="s">
        <v>109</v>
      </c>
      <c r="M357" t="s">
        <v>41</v>
      </c>
      <c r="N357" t="s">
        <v>42</v>
      </c>
      <c r="O357" t="s">
        <v>1169</v>
      </c>
      <c r="P357" t="s">
        <v>59</v>
      </c>
      <c r="Q357">
        <v>5</v>
      </c>
      <c r="R357">
        <v>3203.48</v>
      </c>
      <c r="S357">
        <v>0</v>
      </c>
      <c r="T357" s="12">
        <f>S357</f>
        <v>0</v>
      </c>
      <c r="U357">
        <v>16017.4</v>
      </c>
      <c r="V357">
        <f>Q357*R357*(1-S357)</f>
        <v>16017.4</v>
      </c>
      <c r="W357">
        <v>9557.7999999999993</v>
      </c>
      <c r="X357">
        <v>6459.6</v>
      </c>
      <c r="Y357">
        <f>V357-W357</f>
        <v>6459.6</v>
      </c>
      <c r="Z357" s="12">
        <f>Y357/V357</f>
        <v>0.40328642601171227</v>
      </c>
      <c r="AA357" t="s">
        <v>111</v>
      </c>
      <c r="AB357" t="s">
        <v>68</v>
      </c>
      <c r="AC357" s="10" t="s">
        <v>2792</v>
      </c>
      <c r="AD357" t="s">
        <v>2782</v>
      </c>
      <c r="AE357" t="str">
        <f>PROPER(TRIM(AB357))</f>
        <v>Cancelled</v>
      </c>
      <c r="AS357" t="str">
        <f t="shared" si="7"/>
        <v/>
      </c>
    </row>
    <row r="358" spans="1:45">
      <c r="A358" t="s">
        <v>1170</v>
      </c>
      <c r="B358" s="7">
        <v>45835</v>
      </c>
      <c r="C358" s="4">
        <v>45837</v>
      </c>
      <c r="D358">
        <f>C358-B358</f>
        <v>2</v>
      </c>
      <c r="E358" t="str">
        <f>TEXT(B358,"mmmm")</f>
        <v>June</v>
      </c>
      <c r="F358">
        <f>YEAR(B358)</f>
        <v>2025</v>
      </c>
      <c r="G358" t="s">
        <v>1171</v>
      </c>
      <c r="H358" t="s">
        <v>141</v>
      </c>
      <c r="I358" t="s">
        <v>95</v>
      </c>
      <c r="J358" t="s">
        <v>54</v>
      </c>
      <c r="K358" t="s">
        <v>55</v>
      </c>
      <c r="L358" t="s">
        <v>56</v>
      </c>
      <c r="M358" t="s">
        <v>41</v>
      </c>
      <c r="N358" t="s">
        <v>66</v>
      </c>
      <c r="O358" t="s">
        <v>1172</v>
      </c>
      <c r="P358" t="s">
        <v>50</v>
      </c>
      <c r="Q358">
        <v>5</v>
      </c>
      <c r="R358">
        <v>621.70000000000005</v>
      </c>
      <c r="S358">
        <v>0.2</v>
      </c>
      <c r="T358" s="12">
        <f>S358</f>
        <v>0.2</v>
      </c>
      <c r="U358">
        <v>2486.8000000000002</v>
      </c>
      <c r="V358">
        <f>Q358*R358*(1-S358)</f>
        <v>2486.8000000000002</v>
      </c>
      <c r="W358">
        <v>2131.73</v>
      </c>
      <c r="X358">
        <v>355.07</v>
      </c>
      <c r="Y358">
        <f>V358-W358</f>
        <v>355.07000000000016</v>
      </c>
      <c r="Z358" s="12">
        <f>Y358/V358</f>
        <v>0.1427818883705968</v>
      </c>
      <c r="AA358" t="s">
        <v>111</v>
      </c>
      <c r="AB358" t="s">
        <v>103</v>
      </c>
      <c r="AC358" s="14" t="s">
        <v>2794</v>
      </c>
      <c r="AD358" t="s">
        <v>2782</v>
      </c>
      <c r="AE358" t="str">
        <f>PROPER(TRIM(AB358))</f>
        <v>Returned</v>
      </c>
      <c r="AS358" t="str">
        <f t="shared" si="7"/>
        <v/>
      </c>
    </row>
    <row r="359" spans="1:45">
      <c r="A359" t="s">
        <v>1173</v>
      </c>
      <c r="B359" s="7">
        <v>45678</v>
      </c>
      <c r="C359" s="4">
        <v>45686</v>
      </c>
      <c r="D359">
        <f>C359-B359</f>
        <v>8</v>
      </c>
      <c r="E359" t="str">
        <f>TEXT(B359,"mmmm")</f>
        <v>January</v>
      </c>
      <c r="F359">
        <f>YEAR(B359)</f>
        <v>2025</v>
      </c>
      <c r="G359" t="s">
        <v>1174</v>
      </c>
      <c r="H359" t="s">
        <v>36</v>
      </c>
      <c r="I359" t="s">
        <v>95</v>
      </c>
      <c r="J359" t="s">
        <v>54</v>
      </c>
      <c r="K359" t="s">
        <v>84</v>
      </c>
      <c r="L359" t="s">
        <v>85</v>
      </c>
      <c r="M359" t="s">
        <v>74</v>
      </c>
      <c r="N359" t="s">
        <v>274</v>
      </c>
      <c r="O359" t="s">
        <v>1175</v>
      </c>
      <c r="P359" t="s">
        <v>31</v>
      </c>
      <c r="Q359">
        <v>8</v>
      </c>
      <c r="R359">
        <v>546.13</v>
      </c>
      <c r="S359">
        <v>0</v>
      </c>
      <c r="T359" s="12">
        <f>S359</f>
        <v>0</v>
      </c>
      <c r="U359">
        <v>4369.04</v>
      </c>
      <c r="V359">
        <f>Q359*R359*(1-S359)</f>
        <v>4369.04</v>
      </c>
      <c r="W359">
        <v>3716.88</v>
      </c>
      <c r="X359">
        <v>652.16</v>
      </c>
      <c r="Y359">
        <f>V359-W359</f>
        <v>652.15999999999985</v>
      </c>
      <c r="Z359" s="12">
        <f>Y359/V359</f>
        <v>0.14926848918755603</v>
      </c>
      <c r="AA359" t="s">
        <v>32</v>
      </c>
      <c r="AB359" t="s">
        <v>68</v>
      </c>
      <c r="AC359" s="14" t="s">
        <v>2794</v>
      </c>
      <c r="AD359" t="s">
        <v>2782</v>
      </c>
      <c r="AE359" t="str">
        <f>PROPER(TRIM(AB359))</f>
        <v>Cancelled</v>
      </c>
      <c r="AS359" t="str">
        <f t="shared" si="7"/>
        <v/>
      </c>
    </row>
    <row r="360" spans="1:45">
      <c r="A360" t="s">
        <v>1176</v>
      </c>
      <c r="B360" s="7">
        <v>45908</v>
      </c>
      <c r="C360" s="4">
        <v>45876</v>
      </c>
      <c r="D360" s="10">
        <f>C360-B360</f>
        <v>-32</v>
      </c>
      <c r="E360" t="str">
        <f>TEXT(B360,"mmmm")</f>
        <v>September</v>
      </c>
      <c r="F360">
        <f>YEAR(B360)</f>
        <v>2025</v>
      </c>
      <c r="G360" t="s">
        <v>1177</v>
      </c>
      <c r="H360" t="s">
        <v>71</v>
      </c>
      <c r="I360" t="s">
        <v>95</v>
      </c>
      <c r="J360" t="s">
        <v>63</v>
      </c>
      <c r="K360" t="s">
        <v>180</v>
      </c>
      <c r="L360" t="s">
        <v>181</v>
      </c>
      <c r="M360" t="s">
        <v>41</v>
      </c>
      <c r="N360" t="s">
        <v>158</v>
      </c>
      <c r="O360" t="s">
        <v>1178</v>
      </c>
      <c r="P360" t="s">
        <v>31</v>
      </c>
      <c r="Q360">
        <v>5</v>
      </c>
      <c r="R360">
        <v>1253.92</v>
      </c>
      <c r="S360">
        <v>0.05</v>
      </c>
      <c r="T360" s="12">
        <f>S360</f>
        <v>0.05</v>
      </c>
      <c r="U360">
        <v>5956.12</v>
      </c>
      <c r="V360">
        <f>Q360*R360*(1-S360)</f>
        <v>5956.12</v>
      </c>
      <c r="W360">
        <v>4379.18</v>
      </c>
      <c r="X360">
        <v>1576.94</v>
      </c>
      <c r="Y360">
        <f>V360-W360</f>
        <v>1576.9399999999996</v>
      </c>
      <c r="Z360" s="12">
        <f>Y360/V360</f>
        <v>0.26475960860425907</v>
      </c>
      <c r="AA360" t="s">
        <v>111</v>
      </c>
      <c r="AB360" t="s">
        <v>103</v>
      </c>
      <c r="AC360" s="10" t="s">
        <v>2792</v>
      </c>
      <c r="AD360" t="s">
        <v>2782</v>
      </c>
      <c r="AE360" t="str">
        <f>PROPER(TRIM(AB360))</f>
        <v>Returned</v>
      </c>
      <c r="AS360" t="str">
        <f t="shared" si="7"/>
        <v/>
      </c>
    </row>
    <row r="361" spans="1:45">
      <c r="A361" t="s">
        <v>1179</v>
      </c>
      <c r="B361" s="7">
        <v>45525</v>
      </c>
      <c r="C361" s="4">
        <v>45526</v>
      </c>
      <c r="D361">
        <f>C361-B361</f>
        <v>1</v>
      </c>
      <c r="E361" t="str">
        <f>TEXT(B361,"mmmm")</f>
        <v>August</v>
      </c>
      <c r="F361">
        <f>YEAR(B361)</f>
        <v>2024</v>
      </c>
      <c r="G361" t="s">
        <v>1180</v>
      </c>
      <c r="H361" t="s">
        <v>47</v>
      </c>
      <c r="I361" t="s">
        <v>24</v>
      </c>
      <c r="J361" t="s">
        <v>54</v>
      </c>
      <c r="K361" t="s">
        <v>247</v>
      </c>
      <c r="L361" t="s">
        <v>248</v>
      </c>
      <c r="M361" t="s">
        <v>74</v>
      </c>
      <c r="N361" t="s">
        <v>171</v>
      </c>
      <c r="O361" t="s">
        <v>1181</v>
      </c>
      <c r="P361" t="s">
        <v>44</v>
      </c>
      <c r="Q361">
        <v>9</v>
      </c>
      <c r="R361">
        <v>616.96</v>
      </c>
      <c r="S361">
        <v>0.1</v>
      </c>
      <c r="T361" s="12">
        <f>S361</f>
        <v>0.1</v>
      </c>
      <c r="U361">
        <v>4997.38</v>
      </c>
      <c r="V361">
        <f>Q361*R361*(1-S361)</f>
        <v>4997.3760000000002</v>
      </c>
      <c r="W361">
        <v>2971.39</v>
      </c>
      <c r="X361">
        <v>2025.99</v>
      </c>
      <c r="Y361">
        <f>V361-W361</f>
        <v>2025.9860000000003</v>
      </c>
      <c r="Z361" s="12">
        <f>Y361/V361</f>
        <v>0.40540995914656014</v>
      </c>
      <c r="AA361" t="s">
        <v>32</v>
      </c>
      <c r="AB361" t="s">
        <v>33</v>
      </c>
      <c r="AC361" s="14" t="s">
        <v>2794</v>
      </c>
      <c r="AD361" t="s">
        <v>2782</v>
      </c>
      <c r="AE361" t="str">
        <f>PROPER(TRIM(AB361))</f>
        <v>Completed</v>
      </c>
      <c r="AS361" t="str">
        <f t="shared" si="7"/>
        <v/>
      </c>
    </row>
    <row r="362" spans="1:45">
      <c r="A362" t="s">
        <v>1182</v>
      </c>
      <c r="B362" s="7">
        <v>45460</v>
      </c>
      <c r="C362" s="4">
        <v>45463</v>
      </c>
      <c r="D362">
        <f>C362-B362</f>
        <v>3</v>
      </c>
      <c r="E362" t="str">
        <f>TEXT(B362,"mmmm")</f>
        <v>June</v>
      </c>
      <c r="F362">
        <f>YEAR(B362)</f>
        <v>2024</v>
      </c>
      <c r="G362" t="s">
        <v>1183</v>
      </c>
      <c r="H362" t="s">
        <v>132</v>
      </c>
      <c r="I362" t="s">
        <v>37</v>
      </c>
      <c r="J362" t="s">
        <v>63</v>
      </c>
      <c r="K362" t="s">
        <v>180</v>
      </c>
      <c r="L362" t="s">
        <v>181</v>
      </c>
      <c r="M362" t="s">
        <v>41</v>
      </c>
      <c r="N362" t="s">
        <v>57</v>
      </c>
      <c r="O362" t="s">
        <v>1184</v>
      </c>
      <c r="P362" t="s">
        <v>59</v>
      </c>
      <c r="Q362">
        <v>7</v>
      </c>
      <c r="R362">
        <v>3155.25</v>
      </c>
      <c r="S362">
        <v>0.2</v>
      </c>
      <c r="T362" s="12">
        <f>S362</f>
        <v>0.2</v>
      </c>
      <c r="U362">
        <v>17669.400000000001</v>
      </c>
      <c r="V362">
        <f>Q362*R362*(1-S362)</f>
        <v>17669.400000000001</v>
      </c>
      <c r="W362">
        <v>13718.77</v>
      </c>
      <c r="X362">
        <v>3950.63</v>
      </c>
      <c r="Y362">
        <f>V362-W362</f>
        <v>3950.630000000001</v>
      </c>
      <c r="Z362" s="12">
        <f>Y362/V362</f>
        <v>0.2235859734908939</v>
      </c>
      <c r="AA362" t="s">
        <v>102</v>
      </c>
      <c r="AB362" t="s">
        <v>68</v>
      </c>
      <c r="AC362" s="14" t="s">
        <v>2794</v>
      </c>
      <c r="AD362" t="s">
        <v>2782</v>
      </c>
      <c r="AE362" t="str">
        <f>PROPER(TRIM(AB362))</f>
        <v>Cancelled</v>
      </c>
      <c r="AS362" t="str">
        <f t="shared" si="7"/>
        <v/>
      </c>
    </row>
    <row r="363" spans="1:45">
      <c r="A363" t="s">
        <v>1185</v>
      </c>
      <c r="B363" s="7">
        <v>45748</v>
      </c>
      <c r="C363" s="4">
        <v>45749</v>
      </c>
      <c r="D363">
        <f>C363-B363</f>
        <v>1</v>
      </c>
      <c r="E363" t="str">
        <f>TEXT(B363,"mmmm")</f>
        <v>April</v>
      </c>
      <c r="F363">
        <f>YEAR(B363)</f>
        <v>2025</v>
      </c>
      <c r="G363" t="s">
        <v>1186</v>
      </c>
      <c r="H363" t="s">
        <v>141</v>
      </c>
      <c r="I363" t="s">
        <v>90</v>
      </c>
      <c r="J363" t="s">
        <v>38</v>
      </c>
      <c r="K363" t="s">
        <v>39</v>
      </c>
      <c r="L363" t="s">
        <v>40</v>
      </c>
      <c r="M363" t="s">
        <v>41</v>
      </c>
      <c r="N363" t="s">
        <v>66</v>
      </c>
      <c r="O363" t="s">
        <v>1187</v>
      </c>
      <c r="P363" t="s">
        <v>31</v>
      </c>
      <c r="Q363">
        <v>9</v>
      </c>
      <c r="R363">
        <v>4165.58</v>
      </c>
      <c r="S363">
        <v>0.05</v>
      </c>
      <c r="T363" s="12">
        <f>S363</f>
        <v>0.05</v>
      </c>
      <c r="U363">
        <v>35615.71</v>
      </c>
      <c r="V363">
        <f>Q363*R363*(1-S363)</f>
        <v>35615.709000000003</v>
      </c>
      <c r="W363">
        <v>20389.71</v>
      </c>
      <c r="X363">
        <v>15226</v>
      </c>
      <c r="Y363">
        <f>V363-W363</f>
        <v>15225.999000000003</v>
      </c>
      <c r="Z363" s="12">
        <f>Y363/V363</f>
        <v>0.42750795723314122</v>
      </c>
      <c r="AA363" t="s">
        <v>111</v>
      </c>
      <c r="AB363" t="s">
        <v>103</v>
      </c>
      <c r="AC363" s="14" t="s">
        <v>2794</v>
      </c>
      <c r="AD363" t="s">
        <v>2782</v>
      </c>
      <c r="AE363" t="str">
        <f>PROPER(TRIM(AB363))</f>
        <v>Returned</v>
      </c>
      <c r="AS363" t="str">
        <f t="shared" si="7"/>
        <v/>
      </c>
    </row>
    <row r="364" spans="1:45">
      <c r="A364" t="s">
        <v>1188</v>
      </c>
      <c r="B364" s="7">
        <v>45527</v>
      </c>
      <c r="C364" s="4">
        <v>45529</v>
      </c>
      <c r="D364">
        <f>C364-B364</f>
        <v>2</v>
      </c>
      <c r="E364" t="str">
        <f>TEXT(B364,"mmmm")</f>
        <v>August</v>
      </c>
      <c r="F364">
        <f>YEAR(B364)</f>
        <v>2024</v>
      </c>
      <c r="G364" t="s">
        <v>1189</v>
      </c>
      <c r="H364" t="s">
        <v>71</v>
      </c>
      <c r="I364" t="s">
        <v>24</v>
      </c>
      <c r="J364" t="s">
        <v>63</v>
      </c>
      <c r="K364" t="s">
        <v>190</v>
      </c>
      <c r="L364" t="s">
        <v>191</v>
      </c>
      <c r="M364" t="s">
        <v>74</v>
      </c>
      <c r="N364" t="s">
        <v>274</v>
      </c>
      <c r="O364" t="s">
        <v>1190</v>
      </c>
      <c r="P364" t="s">
        <v>44</v>
      </c>
      <c r="Q364">
        <v>4</v>
      </c>
      <c r="R364">
        <v>491.16</v>
      </c>
      <c r="S364">
        <v>0.05</v>
      </c>
      <c r="T364" s="12">
        <f>S364</f>
        <v>0.05</v>
      </c>
      <c r="U364">
        <v>1866.41</v>
      </c>
      <c r="V364">
        <f>Q364*R364*(1-S364)</f>
        <v>1866.4079999999999</v>
      </c>
      <c r="W364">
        <v>1576.49</v>
      </c>
      <c r="X364">
        <v>289.92</v>
      </c>
      <c r="Y364">
        <f>V364-W364</f>
        <v>289.91799999999989</v>
      </c>
      <c r="Z364" s="12">
        <f>Y364/V364</f>
        <v>0.15533473924243782</v>
      </c>
      <c r="AA364" t="s">
        <v>32</v>
      </c>
      <c r="AB364" t="s">
        <v>33</v>
      </c>
      <c r="AC364" s="14" t="s">
        <v>2794</v>
      </c>
      <c r="AD364" t="s">
        <v>2782</v>
      </c>
      <c r="AE364" t="str">
        <f>PROPER(TRIM(AB364))</f>
        <v>Completed</v>
      </c>
      <c r="AS364" t="str">
        <f t="shared" si="7"/>
        <v/>
      </c>
    </row>
    <row r="365" spans="1:45">
      <c r="A365" t="s">
        <v>1191</v>
      </c>
      <c r="B365" s="7">
        <v>45845</v>
      </c>
      <c r="C365" s="4">
        <v>45998</v>
      </c>
      <c r="D365">
        <f>C365-B365</f>
        <v>153</v>
      </c>
      <c r="E365" t="str">
        <f>TEXT(B365,"mmmm")</f>
        <v>July</v>
      </c>
      <c r="F365">
        <f>YEAR(B365)</f>
        <v>2025</v>
      </c>
      <c r="G365" t="s">
        <v>1192</v>
      </c>
      <c r="H365" t="s">
        <v>162</v>
      </c>
      <c r="I365" t="s">
        <v>90</v>
      </c>
      <c r="J365" t="s">
        <v>38</v>
      </c>
      <c r="K365" t="s">
        <v>99</v>
      </c>
      <c r="L365" t="s">
        <v>100</v>
      </c>
      <c r="M365" t="s">
        <v>41</v>
      </c>
      <c r="N365" t="s">
        <v>42</v>
      </c>
      <c r="O365" t="s">
        <v>1193</v>
      </c>
      <c r="P365" t="s">
        <v>31</v>
      </c>
      <c r="Q365">
        <v>5</v>
      </c>
      <c r="R365">
        <v>1831.37</v>
      </c>
      <c r="S365">
        <v>0.25</v>
      </c>
      <c r="T365" s="12">
        <f>S365</f>
        <v>0.25</v>
      </c>
      <c r="U365">
        <v>6867.64</v>
      </c>
      <c r="V365">
        <f>Q365*R365*(1-S365)</f>
        <v>6867.6374999999989</v>
      </c>
      <c r="W365">
        <v>5205.3599999999997</v>
      </c>
      <c r="X365">
        <v>1662.28</v>
      </c>
      <c r="Y365">
        <f>V365-W365</f>
        <v>1662.2774999999992</v>
      </c>
      <c r="Z365" s="12">
        <f>Y365/V365</f>
        <v>0.24204502640100028</v>
      </c>
      <c r="AA365" t="s">
        <v>32</v>
      </c>
      <c r="AB365" t="s">
        <v>33</v>
      </c>
      <c r="AC365" s="14" t="s">
        <v>2794</v>
      </c>
      <c r="AD365" t="s">
        <v>2782</v>
      </c>
      <c r="AE365" t="str">
        <f>PROPER(TRIM(AB365))</f>
        <v>Completed</v>
      </c>
      <c r="AS365" t="str">
        <f t="shared" si="7"/>
        <v/>
      </c>
    </row>
    <row r="366" spans="1:45">
      <c r="A366" t="s">
        <v>1194</v>
      </c>
      <c r="B366" s="7">
        <v>45737</v>
      </c>
      <c r="C366" s="4">
        <v>45740</v>
      </c>
      <c r="D366">
        <f>C366-B366</f>
        <v>3</v>
      </c>
      <c r="E366" t="str">
        <f>TEXT(B366,"mmmm")</f>
        <v>March</v>
      </c>
      <c r="F366">
        <f>YEAR(B366)</f>
        <v>2025</v>
      </c>
      <c r="G366" t="s">
        <v>1195</v>
      </c>
      <c r="H366" t="s">
        <v>128</v>
      </c>
      <c r="I366" t="s">
        <v>37</v>
      </c>
      <c r="J366" t="s">
        <v>54</v>
      </c>
      <c r="K366" t="s">
        <v>84</v>
      </c>
      <c r="L366" t="s">
        <v>85</v>
      </c>
      <c r="M366" t="s">
        <v>41</v>
      </c>
      <c r="N366" t="s">
        <v>66</v>
      </c>
      <c r="O366" t="s">
        <v>1196</v>
      </c>
      <c r="P366" t="s">
        <v>31</v>
      </c>
      <c r="Q366">
        <v>5</v>
      </c>
      <c r="R366">
        <v>1239.1500000000001</v>
      </c>
      <c r="S366">
        <v>0</v>
      </c>
      <c r="T366" s="12">
        <f>S366</f>
        <v>0</v>
      </c>
      <c r="U366">
        <v>6195.75</v>
      </c>
      <c r="V366">
        <f>Q366*R366*(1-S366)</f>
        <v>6195.75</v>
      </c>
      <c r="W366">
        <v>3967.02</v>
      </c>
      <c r="X366">
        <v>2228.73</v>
      </c>
      <c r="Y366">
        <f>V366-W366</f>
        <v>2228.73</v>
      </c>
      <c r="Z366" s="12">
        <f>Y366/V366</f>
        <v>0.35971916232901585</v>
      </c>
      <c r="AA366" t="s">
        <v>32</v>
      </c>
      <c r="AB366" t="s">
        <v>33</v>
      </c>
      <c r="AC366" s="14" t="s">
        <v>2794</v>
      </c>
      <c r="AD366" t="s">
        <v>2782</v>
      </c>
      <c r="AE366" t="str">
        <f>PROPER(TRIM(AB366))</f>
        <v>Completed</v>
      </c>
      <c r="AS366" t="str">
        <f t="shared" si="7"/>
        <v/>
      </c>
    </row>
    <row r="367" spans="1:45">
      <c r="A367" t="s">
        <v>1197</v>
      </c>
      <c r="B367" s="7">
        <v>45458</v>
      </c>
      <c r="C367" s="4">
        <v>45464</v>
      </c>
      <c r="D367">
        <f>C367-B367</f>
        <v>6</v>
      </c>
      <c r="E367" t="str">
        <f>TEXT(B367,"mmmm")</f>
        <v>June</v>
      </c>
      <c r="F367">
        <f>YEAR(B367)</f>
        <v>2024</v>
      </c>
      <c r="G367" t="s">
        <v>1198</v>
      </c>
      <c r="H367" t="s">
        <v>89</v>
      </c>
      <c r="I367" t="s">
        <v>90</v>
      </c>
      <c r="J367" t="s">
        <v>63</v>
      </c>
      <c r="K367" t="s">
        <v>190</v>
      </c>
      <c r="L367" t="s">
        <v>191</v>
      </c>
      <c r="M367" t="s">
        <v>74</v>
      </c>
      <c r="N367" t="s">
        <v>75</v>
      </c>
      <c r="O367" t="s">
        <v>1199</v>
      </c>
      <c r="P367" t="s">
        <v>50</v>
      </c>
      <c r="Q367">
        <v>8</v>
      </c>
      <c r="R367">
        <v>1706.4</v>
      </c>
      <c r="S367">
        <v>0</v>
      </c>
      <c r="T367" s="12">
        <f>S367</f>
        <v>0</v>
      </c>
      <c r="U367">
        <v>12968.64</v>
      </c>
      <c r="V367">
        <f>Q367*R367*(1-S367)</f>
        <v>13651.2</v>
      </c>
      <c r="W367">
        <v>10119.61</v>
      </c>
      <c r="X367">
        <v>2849.03</v>
      </c>
      <c r="Y367">
        <f>V367-W367</f>
        <v>3531.59</v>
      </c>
      <c r="Z367" s="12">
        <f>Y367/V367</f>
        <v>0.2587017991092358</v>
      </c>
      <c r="AA367" t="s">
        <v>32</v>
      </c>
      <c r="AB367" t="s">
        <v>33</v>
      </c>
      <c r="AC367" s="14" t="s">
        <v>2794</v>
      </c>
      <c r="AD367" t="s">
        <v>2782</v>
      </c>
      <c r="AE367" t="str">
        <f>PROPER(TRIM(AB367))</f>
        <v>Completed</v>
      </c>
      <c r="AS367" t="str">
        <f t="shared" si="7"/>
        <v/>
      </c>
    </row>
    <row r="368" spans="1:45">
      <c r="A368" t="s">
        <v>1200</v>
      </c>
      <c r="B368" s="7">
        <v>45673</v>
      </c>
      <c r="C368" s="4">
        <v>45679</v>
      </c>
      <c r="D368">
        <f>C368-B368</f>
        <v>6</v>
      </c>
      <c r="E368" t="str">
        <f>TEXT(B368,"mmmm")</f>
        <v>January</v>
      </c>
      <c r="F368">
        <f>YEAR(B368)</f>
        <v>2025</v>
      </c>
      <c r="G368" t="s">
        <v>1201</v>
      </c>
      <c r="H368" t="s">
        <v>132</v>
      </c>
      <c r="I368" t="s">
        <v>90</v>
      </c>
      <c r="J368" t="s">
        <v>25</v>
      </c>
      <c r="K368" t="s">
        <v>26</v>
      </c>
      <c r="L368" t="s">
        <v>27</v>
      </c>
      <c r="M368" t="s">
        <v>41</v>
      </c>
      <c r="N368" t="s">
        <v>42</v>
      </c>
      <c r="O368" t="s">
        <v>1202</v>
      </c>
      <c r="P368" t="s">
        <v>44</v>
      </c>
      <c r="Q368">
        <v>2</v>
      </c>
      <c r="R368">
        <v>4418.28</v>
      </c>
      <c r="S368">
        <v>0</v>
      </c>
      <c r="T368" s="12">
        <f>S368</f>
        <v>0</v>
      </c>
      <c r="U368">
        <v>8836.56</v>
      </c>
      <c r="V368">
        <f>Q368*R368*(1-S368)</f>
        <v>8836.56</v>
      </c>
      <c r="W368">
        <v>5867.75</v>
      </c>
      <c r="X368">
        <v>2968.81</v>
      </c>
      <c r="Y368">
        <f>V368-W368</f>
        <v>2968.8099999999995</v>
      </c>
      <c r="Z368" s="12">
        <f>Y368/V368</f>
        <v>0.33596897435201023</v>
      </c>
      <c r="AA368" t="s">
        <v>32</v>
      </c>
      <c r="AB368" t="s">
        <v>33</v>
      </c>
      <c r="AC368" s="14" t="s">
        <v>2794</v>
      </c>
      <c r="AD368" t="s">
        <v>2782</v>
      </c>
      <c r="AE368" t="str">
        <f>PROPER(TRIM(AB368))</f>
        <v>Completed</v>
      </c>
      <c r="AS368" t="str">
        <f t="shared" si="7"/>
        <v/>
      </c>
    </row>
    <row r="369" spans="1:45">
      <c r="A369" t="s">
        <v>1203</v>
      </c>
      <c r="B369" s="7">
        <v>45366</v>
      </c>
      <c r="C369" s="4">
        <v>45367</v>
      </c>
      <c r="D369">
        <f>C369-B369</f>
        <v>1</v>
      </c>
      <c r="E369" t="str">
        <f>TEXT(B369,"mmmm")</f>
        <v>March</v>
      </c>
      <c r="F369">
        <f>YEAR(B369)</f>
        <v>2024</v>
      </c>
      <c r="G369" t="s">
        <v>1204</v>
      </c>
      <c r="H369" t="s">
        <v>141</v>
      </c>
      <c r="I369" t="s">
        <v>24</v>
      </c>
      <c r="J369" t="s">
        <v>25</v>
      </c>
      <c r="K369" t="s">
        <v>350</v>
      </c>
      <c r="L369" t="s">
        <v>351</v>
      </c>
      <c r="M369" t="s">
        <v>28</v>
      </c>
      <c r="N369" t="s">
        <v>48</v>
      </c>
      <c r="O369" t="s">
        <v>1205</v>
      </c>
      <c r="P369" t="s">
        <v>59</v>
      </c>
      <c r="Q369">
        <v>6</v>
      </c>
      <c r="R369">
        <v>3815.09</v>
      </c>
      <c r="S369">
        <v>0.15</v>
      </c>
      <c r="T369" s="12">
        <f>S369</f>
        <v>0.15</v>
      </c>
      <c r="U369">
        <v>19456.96</v>
      </c>
      <c r="V369">
        <f>Q369*R369*(1-S369)</f>
        <v>19456.958999999999</v>
      </c>
      <c r="W369">
        <v>14520.06</v>
      </c>
      <c r="X369">
        <v>4936.8999999999996</v>
      </c>
      <c r="Y369">
        <f>V369-W369</f>
        <v>4936.8989999999994</v>
      </c>
      <c r="Z369" s="12">
        <f>Y369/V369</f>
        <v>0.25373435797443988</v>
      </c>
      <c r="AA369" t="s">
        <v>155</v>
      </c>
      <c r="AB369" t="s">
        <v>68</v>
      </c>
      <c r="AC369" s="14" t="s">
        <v>2794</v>
      </c>
      <c r="AD369" t="s">
        <v>2782</v>
      </c>
      <c r="AE369" t="str">
        <f>PROPER(TRIM(AB369))</f>
        <v>Cancelled</v>
      </c>
      <c r="AS369" t="str">
        <f t="shared" si="7"/>
        <v/>
      </c>
    </row>
    <row r="370" spans="1:45">
      <c r="A370" t="s">
        <v>1206</v>
      </c>
      <c r="B370" s="7">
        <v>45844</v>
      </c>
      <c r="C370" s="4">
        <v>45844</v>
      </c>
      <c r="D370">
        <f>C370-B370</f>
        <v>0</v>
      </c>
      <c r="E370" t="str">
        <f>TEXT(B370,"mmmm")</f>
        <v>July</v>
      </c>
      <c r="F370">
        <f>YEAR(B370)</f>
        <v>2025</v>
      </c>
      <c r="G370" t="s">
        <v>1207</v>
      </c>
      <c r="H370" t="s">
        <v>128</v>
      </c>
      <c r="I370" t="s">
        <v>95</v>
      </c>
      <c r="J370" t="s">
        <v>25</v>
      </c>
      <c r="K370" t="s">
        <v>26</v>
      </c>
      <c r="L370" t="s">
        <v>27</v>
      </c>
      <c r="M370" t="s">
        <v>74</v>
      </c>
      <c r="N370" t="s">
        <v>75</v>
      </c>
      <c r="O370" t="s">
        <v>1208</v>
      </c>
      <c r="P370" t="s">
        <v>44</v>
      </c>
      <c r="Q370">
        <v>9</v>
      </c>
      <c r="R370">
        <v>243.19</v>
      </c>
      <c r="S370">
        <v>0.05</v>
      </c>
      <c r="T370" s="12">
        <f>S370</f>
        <v>0.05</v>
      </c>
      <c r="U370">
        <v>2079.27</v>
      </c>
      <c r="V370">
        <f>Q370*R370*(1-S370)</f>
        <v>2079.2745</v>
      </c>
      <c r="W370">
        <v>1512.17</v>
      </c>
      <c r="X370">
        <v>567.1</v>
      </c>
      <c r="Y370">
        <f>V370-W370</f>
        <v>567.10449999999992</v>
      </c>
      <c r="Z370" s="12">
        <f>Y370/V370</f>
        <v>0.27274152595051782</v>
      </c>
      <c r="AA370" t="s">
        <v>102</v>
      </c>
      <c r="AB370" t="s">
        <v>103</v>
      </c>
      <c r="AC370" s="14" t="s">
        <v>2794</v>
      </c>
      <c r="AD370" t="s">
        <v>2782</v>
      </c>
      <c r="AE370" t="str">
        <f>PROPER(TRIM(AB370))</f>
        <v>Returned</v>
      </c>
      <c r="AS370" t="str">
        <f t="shared" si="7"/>
        <v/>
      </c>
    </row>
    <row r="371" spans="1:45">
      <c r="A371" t="s">
        <v>1209</v>
      </c>
      <c r="B371" s="7">
        <v>45680</v>
      </c>
      <c r="C371" s="4">
        <v>45687</v>
      </c>
      <c r="D371">
        <f>C371-B371</f>
        <v>7</v>
      </c>
      <c r="E371" t="str">
        <f>TEXT(B371,"mmmm")</f>
        <v>January</v>
      </c>
      <c r="F371">
        <f>YEAR(B371)</f>
        <v>2025</v>
      </c>
      <c r="G371" t="s">
        <v>1210</v>
      </c>
      <c r="H371" t="s">
        <v>114</v>
      </c>
      <c r="I371" t="s">
        <v>24</v>
      </c>
      <c r="J371" t="s">
        <v>25</v>
      </c>
      <c r="K371" t="s">
        <v>350</v>
      </c>
      <c r="L371" t="s">
        <v>351</v>
      </c>
      <c r="M371" t="s">
        <v>28</v>
      </c>
      <c r="N371" t="s">
        <v>91</v>
      </c>
      <c r="O371" t="s">
        <v>1211</v>
      </c>
      <c r="P371" t="s">
        <v>59</v>
      </c>
      <c r="Q371">
        <v>9</v>
      </c>
      <c r="R371">
        <v>1169.3699999999999</v>
      </c>
      <c r="S371">
        <v>0.15</v>
      </c>
      <c r="T371" s="12">
        <f>S371</f>
        <v>0.15</v>
      </c>
      <c r="U371">
        <v>8945.68</v>
      </c>
      <c r="V371">
        <f>Q371*R371*(1-S371)</f>
        <v>8945.6804999999986</v>
      </c>
      <c r="W371">
        <v>6740.35</v>
      </c>
      <c r="X371">
        <v>2205.33</v>
      </c>
      <c r="Y371">
        <f>V371-W371</f>
        <v>2205.3304999999982</v>
      </c>
      <c r="Z371" s="12">
        <f>Y371/V371</f>
        <v>0.24652462157574245</v>
      </c>
      <c r="AA371" t="s">
        <v>32</v>
      </c>
      <c r="AB371" t="s">
        <v>33</v>
      </c>
      <c r="AC371" s="14" t="s">
        <v>2794</v>
      </c>
      <c r="AD371" t="s">
        <v>2782</v>
      </c>
      <c r="AE371" t="str">
        <f>PROPER(TRIM(AB371))</f>
        <v>Completed</v>
      </c>
      <c r="AS371" t="str">
        <f t="shared" si="7"/>
        <v/>
      </c>
    </row>
    <row r="372" spans="1:45">
      <c r="A372" t="s">
        <v>1212</v>
      </c>
      <c r="B372" s="7">
        <v>45519</v>
      </c>
      <c r="C372" s="4">
        <v>45525</v>
      </c>
      <c r="D372">
        <f>C372-B372</f>
        <v>6</v>
      </c>
      <c r="E372" t="str">
        <f>TEXT(B372,"mmmm")</f>
        <v>August</v>
      </c>
      <c r="F372">
        <f>YEAR(B372)</f>
        <v>2024</v>
      </c>
      <c r="G372" t="s">
        <v>1213</v>
      </c>
      <c r="H372" t="s">
        <v>62</v>
      </c>
      <c r="I372" t="s">
        <v>37</v>
      </c>
      <c r="J372" t="s">
        <v>63</v>
      </c>
      <c r="K372" t="s">
        <v>26</v>
      </c>
      <c r="L372" t="s">
        <v>109</v>
      </c>
      <c r="M372" t="s">
        <v>74</v>
      </c>
      <c r="N372" t="s">
        <v>80</v>
      </c>
      <c r="O372" t="s">
        <v>1214</v>
      </c>
      <c r="P372" t="s">
        <v>50</v>
      </c>
      <c r="Q372">
        <v>7</v>
      </c>
      <c r="R372">
        <v>2333.81</v>
      </c>
      <c r="S372">
        <v>0.2</v>
      </c>
      <c r="T372" s="12">
        <f>S372</f>
        <v>0.2</v>
      </c>
      <c r="U372">
        <v>13069.34</v>
      </c>
      <c r="V372">
        <f>Q372*R372*(1-S372)</f>
        <v>13069.336000000001</v>
      </c>
      <c r="W372">
        <v>8768.59</v>
      </c>
      <c r="X372">
        <v>4300.75</v>
      </c>
      <c r="Y372">
        <f>V372-W372</f>
        <v>4300.746000000001</v>
      </c>
      <c r="Z372" s="12">
        <f>Y372/V372</f>
        <v>0.32907149988339124</v>
      </c>
      <c r="AA372" t="s">
        <v>32</v>
      </c>
      <c r="AB372" t="s">
        <v>33</v>
      </c>
      <c r="AC372" s="14" t="s">
        <v>2794</v>
      </c>
      <c r="AD372" t="s">
        <v>2782</v>
      </c>
      <c r="AE372" t="str">
        <f>PROPER(TRIM(AB372))</f>
        <v>Completed</v>
      </c>
      <c r="AS372" t="str">
        <f t="shared" si="7"/>
        <v/>
      </c>
    </row>
    <row r="373" spans="1:45">
      <c r="A373" t="s">
        <v>1215</v>
      </c>
      <c r="B373" s="7">
        <v>45313</v>
      </c>
      <c r="C373" s="4">
        <v>45315</v>
      </c>
      <c r="D373">
        <f>C373-B373</f>
        <v>2</v>
      </c>
      <c r="E373" t="str">
        <f>TEXT(B373,"mmmm")</f>
        <v>January</v>
      </c>
      <c r="F373">
        <f>YEAR(B373)</f>
        <v>2024</v>
      </c>
      <c r="G373" t="s">
        <v>1216</v>
      </c>
      <c r="H373" t="s">
        <v>162</v>
      </c>
      <c r="I373" t="s">
        <v>95</v>
      </c>
      <c r="J373" t="s">
        <v>63</v>
      </c>
      <c r="K373" t="s">
        <v>64</v>
      </c>
      <c r="L373" t="s">
        <v>65</v>
      </c>
      <c r="M373" t="s">
        <v>28</v>
      </c>
      <c r="N373" t="s">
        <v>48</v>
      </c>
      <c r="O373" t="s">
        <v>1217</v>
      </c>
      <c r="P373" t="s">
        <v>59</v>
      </c>
      <c r="Q373">
        <v>6</v>
      </c>
      <c r="R373">
        <v>1026.06</v>
      </c>
      <c r="S373">
        <v>0</v>
      </c>
      <c r="T373" s="12">
        <f>S373</f>
        <v>0</v>
      </c>
      <c r="U373">
        <v>4617.2700000000004</v>
      </c>
      <c r="V373">
        <f>Q373*R373*(1-S373)</f>
        <v>6156.36</v>
      </c>
      <c r="W373">
        <v>2981.94</v>
      </c>
      <c r="X373">
        <v>1635.33</v>
      </c>
      <c r="Y373">
        <f>V373-W373</f>
        <v>3174.4199999999996</v>
      </c>
      <c r="Z373" s="12">
        <f>Y373/V373</f>
        <v>0.51563261407714944</v>
      </c>
      <c r="AA373" t="s">
        <v>102</v>
      </c>
      <c r="AB373" t="s">
        <v>68</v>
      </c>
      <c r="AC373" s="14" t="s">
        <v>2794</v>
      </c>
      <c r="AD373" t="s">
        <v>2782</v>
      </c>
      <c r="AE373" t="str">
        <f>PROPER(TRIM(AB373))</f>
        <v>Cancelled</v>
      </c>
      <c r="AS373" t="str">
        <f t="shared" si="7"/>
        <v/>
      </c>
    </row>
    <row r="374" spans="1:45">
      <c r="A374" t="s">
        <v>1218</v>
      </c>
      <c r="B374" s="7">
        <v>45885</v>
      </c>
      <c r="C374" s="4">
        <v>45887</v>
      </c>
      <c r="D374">
        <f>C374-B374</f>
        <v>2</v>
      </c>
      <c r="E374" t="str">
        <f>TEXT(B374,"mmmm")</f>
        <v>August</v>
      </c>
      <c r="F374">
        <f>YEAR(B374)</f>
        <v>2025</v>
      </c>
      <c r="G374" t="s">
        <v>640</v>
      </c>
      <c r="H374" t="s">
        <v>264</v>
      </c>
      <c r="I374" t="s">
        <v>24</v>
      </c>
      <c r="J374" t="s">
        <v>38</v>
      </c>
      <c r="K374" t="s">
        <v>228</v>
      </c>
      <c r="L374" t="s">
        <v>229</v>
      </c>
      <c r="M374" t="s">
        <v>41</v>
      </c>
      <c r="N374" t="s">
        <v>66</v>
      </c>
      <c r="O374" t="s">
        <v>1219</v>
      </c>
      <c r="P374" t="s">
        <v>44</v>
      </c>
      <c r="Q374">
        <v>5</v>
      </c>
      <c r="R374">
        <v>1530.36</v>
      </c>
      <c r="S374">
        <v>0</v>
      </c>
      <c r="T374" s="12">
        <f>S374</f>
        <v>0</v>
      </c>
      <c r="U374">
        <v>7651.8</v>
      </c>
      <c r="V374">
        <f>Q374*R374*(1-S374)</f>
        <v>7651.7999999999993</v>
      </c>
      <c r="W374">
        <v>5171.78</v>
      </c>
      <c r="X374">
        <v>2480.02</v>
      </c>
      <c r="Y374">
        <f>V374-W374</f>
        <v>2480.0199999999995</v>
      </c>
      <c r="Z374" s="12">
        <f>Y374/V374</f>
        <v>0.32410935988917638</v>
      </c>
      <c r="AA374" t="s">
        <v>32</v>
      </c>
      <c r="AB374" t="s">
        <v>33</v>
      </c>
      <c r="AC374" s="14" t="s">
        <v>2794</v>
      </c>
      <c r="AD374" t="s">
        <v>2782</v>
      </c>
      <c r="AE374" t="str">
        <f>PROPER(TRIM(AB374))</f>
        <v>Completed</v>
      </c>
      <c r="AS374" t="str">
        <f t="shared" si="7"/>
        <v/>
      </c>
    </row>
    <row r="375" spans="1:45">
      <c r="A375" t="s">
        <v>1220</v>
      </c>
      <c r="B375" s="7">
        <v>45760</v>
      </c>
      <c r="C375" s="4">
        <v>45760</v>
      </c>
      <c r="D375">
        <f>C375-B375</f>
        <v>0</v>
      </c>
      <c r="E375" t="str">
        <f>TEXT(B375,"mmmm")</f>
        <v>April</v>
      </c>
      <c r="F375">
        <f>YEAR(B375)</f>
        <v>2025</v>
      </c>
      <c r="G375" t="s">
        <v>1221</v>
      </c>
      <c r="H375" t="s">
        <v>132</v>
      </c>
      <c r="I375" t="s">
        <v>37</v>
      </c>
      <c r="J375" t="s">
        <v>25</v>
      </c>
      <c r="K375" t="s">
        <v>136</v>
      </c>
      <c r="L375" t="s">
        <v>137</v>
      </c>
      <c r="M375" t="s">
        <v>28</v>
      </c>
      <c r="N375" t="s">
        <v>124</v>
      </c>
      <c r="O375" t="s">
        <v>1222</v>
      </c>
      <c r="P375" t="s">
        <v>31</v>
      </c>
      <c r="Q375">
        <v>9</v>
      </c>
      <c r="R375">
        <v>1118.68</v>
      </c>
      <c r="S375">
        <v>0</v>
      </c>
      <c r="T375" s="12">
        <f>S375</f>
        <v>0</v>
      </c>
      <c r="U375">
        <v>10068.120000000001</v>
      </c>
      <c r="V375">
        <f>Q375*R375*(1-S375)</f>
        <v>10068.120000000001</v>
      </c>
      <c r="W375">
        <v>8595.3700000000008</v>
      </c>
      <c r="X375">
        <v>1472.75</v>
      </c>
      <c r="Y375">
        <f>V375-W375</f>
        <v>1472.75</v>
      </c>
      <c r="Z375" s="12">
        <f>Y375/V375</f>
        <v>0.14627855051389932</v>
      </c>
      <c r="AA375" t="s">
        <v>32</v>
      </c>
      <c r="AB375" t="s">
        <v>33</v>
      </c>
      <c r="AC375" s="14" t="s">
        <v>2794</v>
      </c>
      <c r="AD375" t="s">
        <v>2782</v>
      </c>
      <c r="AE375" t="str">
        <f>PROPER(TRIM(AB375))</f>
        <v>Completed</v>
      </c>
      <c r="AS375" t="str">
        <f t="shared" si="7"/>
        <v/>
      </c>
    </row>
    <row r="376" spans="1:45">
      <c r="A376" t="s">
        <v>1223</v>
      </c>
      <c r="B376" s="7">
        <v>45715</v>
      </c>
      <c r="C376" s="4">
        <v>45716</v>
      </c>
      <c r="D376">
        <f>C376-B376</f>
        <v>1</v>
      </c>
      <c r="E376" t="str">
        <f>TEXT(B376,"mmmm")</f>
        <v>February</v>
      </c>
      <c r="F376">
        <f>YEAR(B376)</f>
        <v>2025</v>
      </c>
      <c r="G376" t="s">
        <v>1224</v>
      </c>
      <c r="H376" t="s">
        <v>89</v>
      </c>
      <c r="I376" t="s">
        <v>37</v>
      </c>
      <c r="J376" t="s">
        <v>25</v>
      </c>
      <c r="K376" t="s">
        <v>136</v>
      </c>
      <c r="L376" t="s">
        <v>137</v>
      </c>
      <c r="M376" t="s">
        <v>28</v>
      </c>
      <c r="N376" t="s">
        <v>91</v>
      </c>
      <c r="O376" t="s">
        <v>1225</v>
      </c>
      <c r="P376" t="s">
        <v>59</v>
      </c>
      <c r="Q376">
        <v>6</v>
      </c>
      <c r="R376">
        <v>2393.25</v>
      </c>
      <c r="S376">
        <v>0</v>
      </c>
      <c r="T376" s="12">
        <f>S376</f>
        <v>0</v>
      </c>
      <c r="U376">
        <v>14359.5</v>
      </c>
      <c r="V376">
        <f>Q376*R376*(1-S376)</f>
        <v>14359.5</v>
      </c>
      <c r="W376">
        <v>8117.71</v>
      </c>
      <c r="X376">
        <v>6241.79</v>
      </c>
      <c r="Y376">
        <f>V376-W376</f>
        <v>6241.79</v>
      </c>
      <c r="Z376" s="12">
        <f>Y376/V376</f>
        <v>0.43468017688638183</v>
      </c>
      <c r="AA376" t="s">
        <v>32</v>
      </c>
      <c r="AB376" t="s">
        <v>33</v>
      </c>
      <c r="AC376" s="14" t="s">
        <v>2794</v>
      </c>
      <c r="AD376" t="s">
        <v>2782</v>
      </c>
      <c r="AE376" t="str">
        <f>PROPER(TRIM(AB376))</f>
        <v>Completed</v>
      </c>
      <c r="AS376" t="str">
        <f t="shared" si="7"/>
        <v/>
      </c>
    </row>
    <row r="377" spans="1:45">
      <c r="A377" t="s">
        <v>1226</v>
      </c>
      <c r="B377" s="7">
        <v>45657</v>
      </c>
      <c r="C377" s="4">
        <v>45661</v>
      </c>
      <c r="D377">
        <f>C377-B377</f>
        <v>4</v>
      </c>
      <c r="E377" t="str">
        <f>TEXT(B377,"mmmm")</f>
        <v>December</v>
      </c>
      <c r="F377">
        <f>YEAR(B377)</f>
        <v>2024</v>
      </c>
      <c r="G377" t="s">
        <v>1227</v>
      </c>
      <c r="H377" t="s">
        <v>71</v>
      </c>
      <c r="I377" t="s">
        <v>24</v>
      </c>
      <c r="J377" t="s">
        <v>25</v>
      </c>
      <c r="K377" t="s">
        <v>350</v>
      </c>
      <c r="L377" t="s">
        <v>351</v>
      </c>
      <c r="M377" t="s">
        <v>41</v>
      </c>
      <c r="N377" t="s">
        <v>66</v>
      </c>
      <c r="O377" t="s">
        <v>1228</v>
      </c>
      <c r="P377" t="s">
        <v>44</v>
      </c>
      <c r="Q377">
        <v>3</v>
      </c>
      <c r="R377">
        <v>1166.6099999999999</v>
      </c>
      <c r="S377">
        <v>0.25</v>
      </c>
      <c r="T377" s="12">
        <f>S377</f>
        <v>0.25</v>
      </c>
      <c r="U377">
        <v>2624.87</v>
      </c>
      <c r="V377">
        <f>Q377*R377*(1-S377)</f>
        <v>2624.8724999999999</v>
      </c>
      <c r="W377">
        <v>2253.88</v>
      </c>
      <c r="X377">
        <v>370.99</v>
      </c>
      <c r="Y377">
        <f>V377-W377</f>
        <v>370.99249999999984</v>
      </c>
      <c r="Z377" s="12">
        <f>Y377/V377</f>
        <v>0.14133734114704613</v>
      </c>
      <c r="AA377" t="s">
        <v>32</v>
      </c>
      <c r="AB377" t="s">
        <v>33</v>
      </c>
      <c r="AC377" s="14" t="s">
        <v>2794</v>
      </c>
      <c r="AD377" t="s">
        <v>2782</v>
      </c>
      <c r="AE377" t="str">
        <f>PROPER(TRIM(AB377))</f>
        <v>Completed</v>
      </c>
      <c r="AS377" t="str">
        <f t="shared" si="7"/>
        <v/>
      </c>
    </row>
    <row r="378" spans="1:45">
      <c r="A378" t="s">
        <v>1229</v>
      </c>
      <c r="B378" s="7">
        <v>45655</v>
      </c>
      <c r="C378" s="4">
        <v>45657</v>
      </c>
      <c r="D378">
        <f>C378-B378</f>
        <v>2</v>
      </c>
      <c r="E378" t="str">
        <f>TEXT(B378,"mmmm")</f>
        <v>December</v>
      </c>
      <c r="F378">
        <f>YEAR(B378)</f>
        <v>2024</v>
      </c>
      <c r="G378" t="s">
        <v>1230</v>
      </c>
      <c r="H378" t="s">
        <v>47</v>
      </c>
      <c r="I378" t="s">
        <v>37</v>
      </c>
      <c r="J378" t="s">
        <v>38</v>
      </c>
      <c r="K378" t="s">
        <v>145</v>
      </c>
      <c r="L378" t="s">
        <v>146</v>
      </c>
      <c r="M378" t="s">
        <v>41</v>
      </c>
      <c r="N378" t="s">
        <v>66</v>
      </c>
      <c r="O378" t="s">
        <v>1231</v>
      </c>
      <c r="P378" t="s">
        <v>50</v>
      </c>
      <c r="Q378">
        <v>6</v>
      </c>
      <c r="R378">
        <v>1844.78</v>
      </c>
      <c r="S378">
        <v>0.2</v>
      </c>
      <c r="T378" s="12">
        <f>S378</f>
        <v>0.2</v>
      </c>
      <c r="U378">
        <v>8854.94</v>
      </c>
      <c r="V378">
        <f>Q378*R378*(1-S378)</f>
        <v>8854.9440000000013</v>
      </c>
      <c r="W378">
        <v>7433.95</v>
      </c>
      <c r="X378">
        <v>1420.99</v>
      </c>
      <c r="Y378">
        <f>V378-W378</f>
        <v>1420.9940000000015</v>
      </c>
      <c r="Z378" s="12">
        <f>Y378/V378</f>
        <v>0.1604746455765278</v>
      </c>
      <c r="AA378" t="s">
        <v>32</v>
      </c>
      <c r="AB378" t="s">
        <v>33</v>
      </c>
      <c r="AC378" s="14" t="s">
        <v>2794</v>
      </c>
      <c r="AD378" t="s">
        <v>2782</v>
      </c>
      <c r="AE378" t="str">
        <f>PROPER(TRIM(AB378))</f>
        <v>Completed</v>
      </c>
      <c r="AS378" t="str">
        <f t="shared" si="7"/>
        <v/>
      </c>
    </row>
    <row r="379" spans="1:45">
      <c r="A379" t="s">
        <v>1232</v>
      </c>
      <c r="B379" s="7">
        <v>45801</v>
      </c>
      <c r="C379" s="4">
        <v>45807</v>
      </c>
      <c r="D379">
        <f>C379-B379</f>
        <v>6</v>
      </c>
      <c r="E379" t="str">
        <f>TEXT(B379,"mmmm")</f>
        <v>May</v>
      </c>
      <c r="F379">
        <f>YEAR(B379)</f>
        <v>2025</v>
      </c>
      <c r="G379" t="s">
        <v>1233</v>
      </c>
      <c r="H379" t="s">
        <v>264</v>
      </c>
      <c r="I379" t="s">
        <v>37</v>
      </c>
      <c r="J379" t="s">
        <v>38</v>
      </c>
      <c r="K379" t="s">
        <v>39</v>
      </c>
      <c r="L379" t="s">
        <v>40</v>
      </c>
      <c r="M379" t="s">
        <v>28</v>
      </c>
      <c r="N379" t="s">
        <v>124</v>
      </c>
      <c r="O379" t="s">
        <v>1234</v>
      </c>
      <c r="P379" t="s">
        <v>44</v>
      </c>
      <c r="Q379">
        <v>1</v>
      </c>
      <c r="R379">
        <v>2564.7399999999998</v>
      </c>
      <c r="S379">
        <v>0</v>
      </c>
      <c r="T379" s="12">
        <f>S379</f>
        <v>0</v>
      </c>
      <c r="U379">
        <v>2564.7399999999998</v>
      </c>
      <c r="V379">
        <f>Q379*R379*(1-S379)</f>
        <v>2564.7399999999998</v>
      </c>
      <c r="W379">
        <v>1754.58</v>
      </c>
      <c r="X379">
        <v>810.16</v>
      </c>
      <c r="Y379">
        <f>V379-W379</f>
        <v>810.15999999999985</v>
      </c>
      <c r="Z379" s="12">
        <f>Y379/V379</f>
        <v>0.31588387126960232</v>
      </c>
      <c r="AA379" t="s">
        <v>32</v>
      </c>
      <c r="AB379" t="s">
        <v>33</v>
      </c>
      <c r="AC379" s="14" t="s">
        <v>2794</v>
      </c>
      <c r="AD379" t="s">
        <v>2782</v>
      </c>
      <c r="AE379" t="str">
        <f>PROPER(TRIM(AB379))</f>
        <v>Completed</v>
      </c>
      <c r="AS379" t="str">
        <f t="shared" si="7"/>
        <v/>
      </c>
    </row>
    <row r="380" spans="1:45">
      <c r="A380" t="s">
        <v>1235</v>
      </c>
      <c r="B380" s="7">
        <v>45799</v>
      </c>
      <c r="C380" s="4">
        <v>45799</v>
      </c>
      <c r="D380">
        <f>C380-B380</f>
        <v>0</v>
      </c>
      <c r="E380" t="str">
        <f>TEXT(B380,"mmmm")</f>
        <v>May</v>
      </c>
      <c r="F380">
        <f>YEAR(B380)</f>
        <v>2025</v>
      </c>
      <c r="G380" t="s">
        <v>1236</v>
      </c>
      <c r="H380" t="s">
        <v>36</v>
      </c>
      <c r="I380" t="s">
        <v>24</v>
      </c>
      <c r="J380" t="s">
        <v>63</v>
      </c>
      <c r="K380" t="s">
        <v>190</v>
      </c>
      <c r="L380" t="s">
        <v>191</v>
      </c>
      <c r="M380" t="s">
        <v>74</v>
      </c>
      <c r="N380" t="s">
        <v>75</v>
      </c>
      <c r="O380" t="s">
        <v>1237</v>
      </c>
      <c r="P380" t="s">
        <v>59</v>
      </c>
      <c r="Q380">
        <v>2</v>
      </c>
      <c r="R380">
        <v>3910.61</v>
      </c>
      <c r="S380">
        <v>0</v>
      </c>
      <c r="T380" s="12">
        <f>S380</f>
        <v>0</v>
      </c>
      <c r="U380">
        <v>7821.22</v>
      </c>
      <c r="V380">
        <f>Q380*R380*(1-S380)</f>
        <v>7821.22</v>
      </c>
      <c r="W380">
        <v>4994.46</v>
      </c>
      <c r="X380">
        <v>2826.76</v>
      </c>
      <c r="Y380">
        <f>V380-W380</f>
        <v>2826.76</v>
      </c>
      <c r="Z380" s="12">
        <f>Y380/V380</f>
        <v>0.36142187535959863</v>
      </c>
      <c r="AA380" t="s">
        <v>32</v>
      </c>
      <c r="AB380" t="s">
        <v>33</v>
      </c>
      <c r="AC380" s="14" t="s">
        <v>2794</v>
      </c>
      <c r="AD380" t="s">
        <v>2782</v>
      </c>
      <c r="AE380" t="str">
        <f>PROPER(TRIM(AB380))</f>
        <v>Completed</v>
      </c>
      <c r="AS380" t="str">
        <f t="shared" si="7"/>
        <v/>
      </c>
    </row>
    <row r="381" spans="1:45">
      <c r="A381" t="s">
        <v>1238</v>
      </c>
      <c r="B381" s="7">
        <v>45554</v>
      </c>
      <c r="C381" s="4">
        <v>45558</v>
      </c>
      <c r="D381">
        <f>C381-B381</f>
        <v>4</v>
      </c>
      <c r="E381" t="str">
        <f>TEXT(B381,"mmmm")</f>
        <v>September</v>
      </c>
      <c r="F381">
        <f>YEAR(B381)</f>
        <v>2024</v>
      </c>
      <c r="G381" t="s">
        <v>1239</v>
      </c>
      <c r="H381" t="s">
        <v>36</v>
      </c>
      <c r="I381" t="s">
        <v>37</v>
      </c>
      <c r="J381" t="s">
        <v>54</v>
      </c>
      <c r="K381" t="s">
        <v>185</v>
      </c>
      <c r="L381" t="s">
        <v>186</v>
      </c>
      <c r="M381" t="s">
        <v>28</v>
      </c>
      <c r="N381" t="s">
        <v>29</v>
      </c>
      <c r="O381" t="s">
        <v>1240</v>
      </c>
      <c r="P381" t="s">
        <v>59</v>
      </c>
      <c r="Q381">
        <v>7</v>
      </c>
      <c r="R381">
        <v>1136.68</v>
      </c>
      <c r="S381">
        <v>0</v>
      </c>
      <c r="T381" s="12">
        <f>S381</f>
        <v>0</v>
      </c>
      <c r="U381">
        <v>7956.76</v>
      </c>
      <c r="V381">
        <f>Q381*R381*(1-S381)</f>
        <v>7956.76</v>
      </c>
      <c r="W381">
        <v>4799.54</v>
      </c>
      <c r="X381">
        <v>3157.22</v>
      </c>
      <c r="Y381">
        <f>V381-W381</f>
        <v>3157.2200000000003</v>
      </c>
      <c r="Z381" s="12">
        <f>Y381/V381</f>
        <v>0.39679718880549369</v>
      </c>
      <c r="AA381" t="s">
        <v>32</v>
      </c>
      <c r="AB381" t="s">
        <v>33</v>
      </c>
      <c r="AC381" s="14" t="s">
        <v>2794</v>
      </c>
      <c r="AD381" t="s">
        <v>2782</v>
      </c>
      <c r="AE381" t="str">
        <f>PROPER(TRIM(AB381))</f>
        <v>Completed</v>
      </c>
      <c r="AS381" t="str">
        <f t="shared" si="7"/>
        <v/>
      </c>
    </row>
    <row r="382" spans="1:45">
      <c r="A382" t="s">
        <v>1241</v>
      </c>
      <c r="B382" s="7">
        <v>45389</v>
      </c>
      <c r="C382" s="4">
        <v>45396</v>
      </c>
      <c r="D382">
        <f>C382-B382</f>
        <v>7</v>
      </c>
      <c r="E382" t="str">
        <f>TEXT(B382,"mmmm")</f>
        <v>April</v>
      </c>
      <c r="F382">
        <f>YEAR(B382)</f>
        <v>2024</v>
      </c>
      <c r="G382" t="s">
        <v>1242</v>
      </c>
      <c r="H382" t="s">
        <v>71</v>
      </c>
      <c r="I382" t="s">
        <v>24</v>
      </c>
      <c r="J382" t="s">
        <v>63</v>
      </c>
      <c r="K382" t="s">
        <v>64</v>
      </c>
      <c r="L382" t="s">
        <v>65</v>
      </c>
      <c r="M382" t="s">
        <v>41</v>
      </c>
      <c r="N382" t="s">
        <v>158</v>
      </c>
      <c r="O382" t="s">
        <v>1243</v>
      </c>
      <c r="P382" t="s">
        <v>44</v>
      </c>
      <c r="Q382">
        <v>5</v>
      </c>
      <c r="R382">
        <v>2235.85</v>
      </c>
      <c r="S382">
        <v>0.25</v>
      </c>
      <c r="T382" s="12">
        <f>S382</f>
        <v>0.25</v>
      </c>
      <c r="U382">
        <v>8384.44</v>
      </c>
      <c r="V382">
        <f>Q382*R382*(1-S382)</f>
        <v>8384.4375</v>
      </c>
      <c r="W382">
        <v>4765.96</v>
      </c>
      <c r="X382">
        <v>3618.48</v>
      </c>
      <c r="Y382">
        <f>V382-W382</f>
        <v>3618.4775</v>
      </c>
      <c r="Z382" s="12">
        <f>Y382/V382</f>
        <v>0.43157069272685256</v>
      </c>
      <c r="AA382" t="s">
        <v>32</v>
      </c>
      <c r="AB382" t="s">
        <v>103</v>
      </c>
      <c r="AC382" s="14" t="s">
        <v>2794</v>
      </c>
      <c r="AD382" t="s">
        <v>2782</v>
      </c>
      <c r="AE382" t="str">
        <f>PROPER(TRIM(AB382))</f>
        <v>Returned</v>
      </c>
      <c r="AS382" t="str">
        <f t="shared" si="7"/>
        <v/>
      </c>
    </row>
    <row r="383" spans="1:45">
      <c r="A383" t="s">
        <v>1244</v>
      </c>
      <c r="B383" s="7">
        <v>45919</v>
      </c>
      <c r="C383" s="4">
        <v>45923</v>
      </c>
      <c r="D383">
        <f>C383-B383</f>
        <v>4</v>
      </c>
      <c r="E383" t="str">
        <f>TEXT(B383,"mmmm")</f>
        <v>September</v>
      </c>
      <c r="F383">
        <f>YEAR(B383)</f>
        <v>2025</v>
      </c>
      <c r="G383" t="s">
        <v>1245</v>
      </c>
      <c r="H383" t="s">
        <v>53</v>
      </c>
      <c r="I383" t="s">
        <v>95</v>
      </c>
      <c r="J383" t="s">
        <v>25</v>
      </c>
      <c r="K383" t="s">
        <v>350</v>
      </c>
      <c r="L383" t="s">
        <v>351</v>
      </c>
      <c r="M383" t="s">
        <v>28</v>
      </c>
      <c r="N383" t="s">
        <v>153</v>
      </c>
      <c r="O383" t="s">
        <v>1246</v>
      </c>
      <c r="P383" t="s">
        <v>59</v>
      </c>
      <c r="Q383">
        <v>4</v>
      </c>
      <c r="R383">
        <v>4387.1499999999996</v>
      </c>
      <c r="S383">
        <v>0.05</v>
      </c>
      <c r="T383" s="12">
        <f>S383</f>
        <v>0.05</v>
      </c>
      <c r="U383">
        <v>16671.169999999998</v>
      </c>
      <c r="V383">
        <f>Q383*R383*(1-S383)</f>
        <v>16671.169999999998</v>
      </c>
      <c r="W383">
        <v>10833.19</v>
      </c>
      <c r="X383">
        <v>5837.98</v>
      </c>
      <c r="Y383">
        <f>V383-W383</f>
        <v>5837.9799999999977</v>
      </c>
      <c r="Z383" s="12">
        <f>Y383/V383</f>
        <v>0.35018418023450054</v>
      </c>
      <c r="AA383" t="s">
        <v>155</v>
      </c>
      <c r="AB383" t="s">
        <v>68</v>
      </c>
      <c r="AC383" s="14" t="s">
        <v>2794</v>
      </c>
      <c r="AD383" t="s">
        <v>2782</v>
      </c>
      <c r="AE383" t="str">
        <f>PROPER(TRIM(AB383))</f>
        <v>Cancelled</v>
      </c>
      <c r="AS383" t="str">
        <f t="shared" si="7"/>
        <v/>
      </c>
    </row>
    <row r="384" spans="1:45">
      <c r="A384" t="s">
        <v>1247</v>
      </c>
      <c r="B384" s="7">
        <v>45720</v>
      </c>
      <c r="C384" s="4">
        <v>45872</v>
      </c>
      <c r="D384">
        <f>C384-B384</f>
        <v>152</v>
      </c>
      <c r="E384" t="str">
        <f>TEXT(B384,"mmmm")</f>
        <v>March</v>
      </c>
      <c r="F384">
        <f>YEAR(B384)</f>
        <v>2025</v>
      </c>
      <c r="G384" t="s">
        <v>157</v>
      </c>
      <c r="H384" t="s">
        <v>53</v>
      </c>
      <c r="I384" t="s">
        <v>37</v>
      </c>
      <c r="J384" t="s">
        <v>38</v>
      </c>
      <c r="K384" t="s">
        <v>145</v>
      </c>
      <c r="L384" t="s">
        <v>146</v>
      </c>
      <c r="M384" t="s">
        <v>74</v>
      </c>
      <c r="N384" t="s">
        <v>171</v>
      </c>
      <c r="O384" t="s">
        <v>1248</v>
      </c>
      <c r="P384" t="s">
        <v>50</v>
      </c>
      <c r="Q384">
        <v>3</v>
      </c>
      <c r="R384">
        <v>4361.8500000000004</v>
      </c>
      <c r="S384">
        <v>0.2</v>
      </c>
      <c r="T384" s="12">
        <f>S384</f>
        <v>0.2</v>
      </c>
      <c r="U384">
        <v>10468.44</v>
      </c>
      <c r="V384">
        <f>Q384*R384*(1-S384)</f>
        <v>10468.440000000002</v>
      </c>
      <c r="W384">
        <v>8399.8700000000008</v>
      </c>
      <c r="X384">
        <v>2068.5700000000002</v>
      </c>
      <c r="Y384">
        <f>V384-W384</f>
        <v>2068.5700000000015</v>
      </c>
      <c r="Z384" s="12">
        <f>Y384/V384</f>
        <v>0.19760059760575607</v>
      </c>
      <c r="AA384" t="s">
        <v>32</v>
      </c>
      <c r="AB384" t="s">
        <v>33</v>
      </c>
      <c r="AC384" s="14" t="s">
        <v>2794</v>
      </c>
      <c r="AD384" t="s">
        <v>2782</v>
      </c>
      <c r="AE384" t="str">
        <f>PROPER(TRIM(AB384))</f>
        <v>Completed</v>
      </c>
      <c r="AS384" t="str">
        <f t="shared" si="7"/>
        <v/>
      </c>
    </row>
    <row r="385" spans="1:45">
      <c r="A385" t="s">
        <v>1249</v>
      </c>
      <c r="B385" s="7">
        <v>45836</v>
      </c>
      <c r="C385" s="4">
        <v>45843</v>
      </c>
      <c r="D385">
        <f>C385-B385</f>
        <v>7</v>
      </c>
      <c r="E385" t="str">
        <f>TEXT(B385,"mmmm")</f>
        <v>June</v>
      </c>
      <c r="F385">
        <f>YEAR(B385)</f>
        <v>2025</v>
      </c>
      <c r="G385" t="s">
        <v>1250</v>
      </c>
      <c r="H385" t="s">
        <v>71</v>
      </c>
      <c r="I385" t="s">
        <v>90</v>
      </c>
      <c r="J385" t="s">
        <v>38</v>
      </c>
      <c r="K385" t="s">
        <v>99</v>
      </c>
      <c r="L385" t="s">
        <v>100</v>
      </c>
      <c r="M385" t="s">
        <v>28</v>
      </c>
      <c r="N385" t="s">
        <v>48</v>
      </c>
      <c r="O385" t="s">
        <v>1251</v>
      </c>
      <c r="P385" t="s">
        <v>50</v>
      </c>
      <c r="Q385">
        <v>2</v>
      </c>
      <c r="R385">
        <v>2242.75</v>
      </c>
      <c r="S385">
        <v>0</v>
      </c>
      <c r="T385" s="12">
        <f>S385</f>
        <v>0</v>
      </c>
      <c r="U385">
        <v>4485.5</v>
      </c>
      <c r="V385">
        <f>Q385*R385*(1-S385)</f>
        <v>4485.5</v>
      </c>
      <c r="W385">
        <v>3131.86</v>
      </c>
      <c r="X385">
        <v>1353.64</v>
      </c>
      <c r="Y385">
        <f>V385-W385</f>
        <v>1353.6399999999999</v>
      </c>
      <c r="Z385" s="12">
        <f>Y385/V385</f>
        <v>0.30178129528480657</v>
      </c>
      <c r="AA385" t="s">
        <v>32</v>
      </c>
      <c r="AB385" t="s">
        <v>68</v>
      </c>
      <c r="AC385" s="14" t="s">
        <v>2794</v>
      </c>
      <c r="AD385" t="s">
        <v>2782</v>
      </c>
      <c r="AE385" t="str">
        <f>PROPER(TRIM(AB385))</f>
        <v>Cancelled</v>
      </c>
      <c r="AS385" t="str">
        <f t="shared" si="7"/>
        <v/>
      </c>
    </row>
    <row r="386" spans="1:45">
      <c r="A386" t="s">
        <v>1252</v>
      </c>
      <c r="B386" s="7">
        <v>45366</v>
      </c>
      <c r="C386" s="4">
        <v>45371</v>
      </c>
      <c r="D386">
        <f>C386-B386</f>
        <v>5</v>
      </c>
      <c r="E386" t="str">
        <f>TEXT(B386,"mmmm")</f>
        <v>March</v>
      </c>
      <c r="F386">
        <f>YEAR(B386)</f>
        <v>2024</v>
      </c>
      <c r="G386" t="s">
        <v>1253</v>
      </c>
      <c r="H386" t="s">
        <v>141</v>
      </c>
      <c r="I386" t="s">
        <v>24</v>
      </c>
      <c r="J386" t="s">
        <v>38</v>
      </c>
      <c r="K386" t="s">
        <v>228</v>
      </c>
      <c r="L386" t="s">
        <v>229</v>
      </c>
      <c r="M386" t="s">
        <v>74</v>
      </c>
      <c r="N386" t="s">
        <v>80</v>
      </c>
      <c r="O386" t="s">
        <v>1254</v>
      </c>
      <c r="P386" t="s">
        <v>59</v>
      </c>
      <c r="Q386">
        <v>2</v>
      </c>
      <c r="R386">
        <v>1881.4</v>
      </c>
      <c r="S386">
        <v>0.25</v>
      </c>
      <c r="T386" s="12">
        <f>S386</f>
        <v>0.25</v>
      </c>
      <c r="U386">
        <v>2822.1</v>
      </c>
      <c r="V386">
        <f>Q386*R386*(1-S386)</f>
        <v>2822.1000000000004</v>
      </c>
      <c r="W386">
        <v>1624.57</v>
      </c>
      <c r="X386">
        <v>1197.53</v>
      </c>
      <c r="Y386">
        <f>V386-W386</f>
        <v>1197.5300000000004</v>
      </c>
      <c r="Z386" s="12">
        <f>Y386/V386</f>
        <v>0.42434003047376079</v>
      </c>
      <c r="AA386" t="s">
        <v>32</v>
      </c>
      <c r="AB386" t="s">
        <v>103</v>
      </c>
      <c r="AC386" s="14" t="s">
        <v>2794</v>
      </c>
      <c r="AD386" t="s">
        <v>2782</v>
      </c>
      <c r="AE386" t="str">
        <f>PROPER(TRIM(AB386))</f>
        <v>Returned</v>
      </c>
      <c r="AS386" t="str">
        <f t="shared" si="7"/>
        <v/>
      </c>
    </row>
    <row r="387" spans="1:45">
      <c r="A387" t="s">
        <v>1255</v>
      </c>
      <c r="B387" s="7">
        <v>45832</v>
      </c>
      <c r="C387" s="4">
        <v>45838</v>
      </c>
      <c r="D387">
        <f>C387-B387</f>
        <v>6</v>
      </c>
      <c r="E387" t="str">
        <f>TEXT(B387,"mmmm")</f>
        <v>June</v>
      </c>
      <c r="F387">
        <f>YEAR(B387)</f>
        <v>2025</v>
      </c>
      <c r="G387" t="s">
        <v>1256</v>
      </c>
      <c r="H387" t="s">
        <v>53</v>
      </c>
      <c r="I387" t="s">
        <v>24</v>
      </c>
      <c r="J387" t="s">
        <v>25</v>
      </c>
      <c r="K387" t="s">
        <v>236</v>
      </c>
      <c r="L387" t="s">
        <v>237</v>
      </c>
      <c r="M387" t="s">
        <v>28</v>
      </c>
      <c r="N387" t="s">
        <v>91</v>
      </c>
      <c r="O387" t="s">
        <v>1257</v>
      </c>
      <c r="P387" t="s">
        <v>59</v>
      </c>
      <c r="Q387">
        <v>6</v>
      </c>
      <c r="R387">
        <v>365.76</v>
      </c>
      <c r="S387">
        <v>0.1</v>
      </c>
      <c r="T387" s="12">
        <f>S387</f>
        <v>0.1</v>
      </c>
      <c r="U387">
        <v>1975.1</v>
      </c>
      <c r="V387">
        <f>Q387*R387*(1-S387)</f>
        <v>1975.104</v>
      </c>
      <c r="W387">
        <v>1115.3499999999999</v>
      </c>
      <c r="X387">
        <v>859.75</v>
      </c>
      <c r="Y387">
        <f>V387-W387</f>
        <v>859.75400000000013</v>
      </c>
      <c r="Z387" s="12">
        <f>Y387/V387</f>
        <v>0.4352955591199249</v>
      </c>
      <c r="AA387" t="s">
        <v>32</v>
      </c>
      <c r="AB387" t="s">
        <v>33</v>
      </c>
      <c r="AC387" s="14" t="s">
        <v>2794</v>
      </c>
      <c r="AD387" t="s">
        <v>2782</v>
      </c>
      <c r="AE387" t="str">
        <f>PROPER(TRIM(AB387))</f>
        <v>Completed</v>
      </c>
      <c r="AS387" t="str">
        <f t="shared" ref="AS387:AS450" si="8">PROPER(TRIM(AD387))</f>
        <v/>
      </c>
    </row>
    <row r="388" spans="1:45">
      <c r="A388" t="s">
        <v>1258</v>
      </c>
      <c r="B388" s="7">
        <v>45993</v>
      </c>
      <c r="C388" s="4">
        <v>45702</v>
      </c>
      <c r="D388" s="10">
        <f>C388-B388</f>
        <v>-291</v>
      </c>
      <c r="E388" t="str">
        <f>TEXT(B388,"mmmm")</f>
        <v>December</v>
      </c>
      <c r="F388">
        <f>YEAR(B388)</f>
        <v>2025</v>
      </c>
      <c r="G388" t="s">
        <v>1259</v>
      </c>
      <c r="H388" t="s">
        <v>132</v>
      </c>
      <c r="I388" t="s">
        <v>24</v>
      </c>
      <c r="J388" t="s">
        <v>63</v>
      </c>
      <c r="K388" t="s">
        <v>64</v>
      </c>
      <c r="L388" t="s">
        <v>65</v>
      </c>
      <c r="M388" t="s">
        <v>41</v>
      </c>
      <c r="N388" t="s">
        <v>57</v>
      </c>
      <c r="O388" t="s">
        <v>1260</v>
      </c>
      <c r="P388" t="s">
        <v>31</v>
      </c>
      <c r="Q388">
        <v>8</v>
      </c>
      <c r="R388">
        <v>2786.66</v>
      </c>
      <c r="S388">
        <v>0.1</v>
      </c>
      <c r="T388" s="12">
        <f>S388</f>
        <v>0.1</v>
      </c>
      <c r="U388">
        <v>20063.95</v>
      </c>
      <c r="V388">
        <f>Q388*R388*(1-S388)</f>
        <v>20063.952000000001</v>
      </c>
      <c r="W388">
        <v>14363.38</v>
      </c>
      <c r="X388">
        <v>5700.57</v>
      </c>
      <c r="Y388">
        <f>V388-W388</f>
        <v>5700.5720000000019</v>
      </c>
      <c r="Z388" s="12">
        <f>Y388/V388</f>
        <v>0.2841200975759911</v>
      </c>
      <c r="AA388" t="s">
        <v>32</v>
      </c>
      <c r="AB388" t="s">
        <v>33</v>
      </c>
      <c r="AC388" s="10" t="s">
        <v>2792</v>
      </c>
      <c r="AD388" t="s">
        <v>2782</v>
      </c>
      <c r="AE388" t="str">
        <f>PROPER(TRIM(AB388))</f>
        <v>Completed</v>
      </c>
      <c r="AS388" t="str">
        <f t="shared" si="8"/>
        <v/>
      </c>
    </row>
    <row r="389" spans="1:45">
      <c r="A389" t="s">
        <v>1261</v>
      </c>
      <c r="B389" s="7">
        <v>45879</v>
      </c>
      <c r="C389" s="4">
        <v>45882</v>
      </c>
      <c r="D389">
        <f>C389-B389</f>
        <v>3</v>
      </c>
      <c r="E389" t="str">
        <f>TEXT(B389,"mmmm")</f>
        <v>August</v>
      </c>
      <c r="F389">
        <f>YEAR(B389)</f>
        <v>2025</v>
      </c>
      <c r="G389" t="s">
        <v>1262</v>
      </c>
      <c r="H389" t="s">
        <v>114</v>
      </c>
      <c r="I389" t="s">
        <v>37</v>
      </c>
      <c r="J389" t="s">
        <v>63</v>
      </c>
      <c r="K389" t="s">
        <v>72</v>
      </c>
      <c r="L389" t="s">
        <v>73</v>
      </c>
      <c r="M389" t="s">
        <v>41</v>
      </c>
      <c r="N389" t="s">
        <v>66</v>
      </c>
      <c r="O389" t="s">
        <v>1263</v>
      </c>
      <c r="P389" t="s">
        <v>59</v>
      </c>
      <c r="Q389">
        <v>5</v>
      </c>
      <c r="R389">
        <v>352.86</v>
      </c>
      <c r="S389">
        <v>0</v>
      </c>
      <c r="T389" s="12">
        <f>S389</f>
        <v>0</v>
      </c>
      <c r="U389">
        <v>1764.3</v>
      </c>
      <c r="V389">
        <f>Q389*R389*(1-S389)</f>
        <v>1764.3000000000002</v>
      </c>
      <c r="W389">
        <v>1332.49</v>
      </c>
      <c r="X389">
        <v>431.81</v>
      </c>
      <c r="Y389">
        <f>V389-W389</f>
        <v>431.81000000000017</v>
      </c>
      <c r="Z389" s="12">
        <f>Y389/V389</f>
        <v>0.24474862551720236</v>
      </c>
      <c r="AA389" t="s">
        <v>111</v>
      </c>
      <c r="AB389" t="s">
        <v>68</v>
      </c>
      <c r="AC389" s="14" t="s">
        <v>2794</v>
      </c>
      <c r="AD389" t="s">
        <v>2782</v>
      </c>
      <c r="AE389" t="str">
        <f>PROPER(TRIM(AB389))</f>
        <v>Cancelled</v>
      </c>
      <c r="AS389" t="str">
        <f t="shared" si="8"/>
        <v/>
      </c>
    </row>
    <row r="390" spans="1:45">
      <c r="A390" t="s">
        <v>1264</v>
      </c>
      <c r="B390" s="7">
        <v>45425</v>
      </c>
      <c r="C390" s="4">
        <v>45430</v>
      </c>
      <c r="D390">
        <f>C390-B390</f>
        <v>5</v>
      </c>
      <c r="E390" t="str">
        <f>TEXT(B390,"mmmm")</f>
        <v>May</v>
      </c>
      <c r="F390">
        <f>YEAR(B390)</f>
        <v>2024</v>
      </c>
      <c r="G390" t="s">
        <v>1265</v>
      </c>
      <c r="H390" t="s">
        <v>47</v>
      </c>
      <c r="I390" t="s">
        <v>37</v>
      </c>
      <c r="J390" t="s">
        <v>63</v>
      </c>
      <c r="K390" t="s">
        <v>180</v>
      </c>
      <c r="L390" t="s">
        <v>181</v>
      </c>
      <c r="M390" t="s">
        <v>41</v>
      </c>
      <c r="N390" t="s">
        <v>66</v>
      </c>
      <c r="O390" t="s">
        <v>1266</v>
      </c>
      <c r="P390" t="s">
        <v>59</v>
      </c>
      <c r="Q390">
        <v>3</v>
      </c>
      <c r="R390">
        <v>3128.59</v>
      </c>
      <c r="S390">
        <v>0</v>
      </c>
      <c r="T390" s="12">
        <f>S390</f>
        <v>0</v>
      </c>
      <c r="U390">
        <v>9385.77</v>
      </c>
      <c r="V390">
        <f>Q390*R390*(1-S390)</f>
        <v>9385.77</v>
      </c>
      <c r="W390">
        <v>6872.44</v>
      </c>
      <c r="X390">
        <v>2783.66</v>
      </c>
      <c r="Y390">
        <f>V390-W390</f>
        <v>2513.3300000000008</v>
      </c>
      <c r="Z390" s="12">
        <f>Y390/V390</f>
        <v>0.26778090662779941</v>
      </c>
      <c r="AA390" t="s">
        <v>32</v>
      </c>
      <c r="AB390" t="s">
        <v>33</v>
      </c>
      <c r="AC390" s="14" t="s">
        <v>2794</v>
      </c>
      <c r="AD390" t="s">
        <v>2782</v>
      </c>
      <c r="AE390" t="str">
        <f>PROPER(TRIM(AB390))</f>
        <v>Completed</v>
      </c>
      <c r="AS390" t="str">
        <f t="shared" si="8"/>
        <v/>
      </c>
    </row>
    <row r="391" spans="1:45">
      <c r="A391" t="s">
        <v>1267</v>
      </c>
      <c r="B391" s="7">
        <v>45387</v>
      </c>
      <c r="C391" s="4">
        <v>45395</v>
      </c>
      <c r="D391">
        <f>C391-B391</f>
        <v>8</v>
      </c>
      <c r="E391" t="str">
        <f>TEXT(B391,"mmmm")</f>
        <v>April</v>
      </c>
      <c r="F391">
        <f>YEAR(B391)</f>
        <v>2024</v>
      </c>
      <c r="G391" t="s">
        <v>1268</v>
      </c>
      <c r="H391" t="s">
        <v>162</v>
      </c>
      <c r="I391" t="s">
        <v>90</v>
      </c>
      <c r="J391" t="s">
        <v>63</v>
      </c>
      <c r="K391" t="s">
        <v>180</v>
      </c>
      <c r="L391" t="s">
        <v>181</v>
      </c>
      <c r="M391" t="s">
        <v>74</v>
      </c>
      <c r="N391" t="s">
        <v>274</v>
      </c>
      <c r="O391" t="s">
        <v>1269</v>
      </c>
      <c r="P391" t="s">
        <v>31</v>
      </c>
      <c r="Q391">
        <v>5</v>
      </c>
      <c r="R391">
        <v>1937.54</v>
      </c>
      <c r="S391">
        <v>0.2</v>
      </c>
      <c r="T391" s="12">
        <f>S391</f>
        <v>0.2</v>
      </c>
      <c r="U391">
        <v>7750.16</v>
      </c>
      <c r="V391">
        <f>Q391*R391*(1-S391)</f>
        <v>7750.1600000000008</v>
      </c>
      <c r="W391">
        <v>5434.3</v>
      </c>
      <c r="X391">
        <v>2315.86</v>
      </c>
      <c r="Y391">
        <f>V391-W391</f>
        <v>2315.8600000000006</v>
      </c>
      <c r="Z391" s="12">
        <f>Y391/V391</f>
        <v>0.29881447608823564</v>
      </c>
      <c r="AA391" t="s">
        <v>111</v>
      </c>
      <c r="AB391" t="s">
        <v>68</v>
      </c>
      <c r="AC391" s="14" t="s">
        <v>2794</v>
      </c>
      <c r="AD391" t="s">
        <v>2782</v>
      </c>
      <c r="AE391" t="str">
        <f>PROPER(TRIM(AB391))</f>
        <v>Cancelled</v>
      </c>
      <c r="AS391" t="str">
        <f t="shared" si="8"/>
        <v/>
      </c>
    </row>
    <row r="392" spans="1:45">
      <c r="A392" t="s">
        <v>1270</v>
      </c>
      <c r="B392" s="7">
        <v>45602</v>
      </c>
      <c r="C392" s="4">
        <v>45607</v>
      </c>
      <c r="D392">
        <f>C392-B392</f>
        <v>5</v>
      </c>
      <c r="E392" t="str">
        <f>TEXT(B392,"mmmm")</f>
        <v>November</v>
      </c>
      <c r="F392">
        <f>YEAR(B392)</f>
        <v>2024</v>
      </c>
      <c r="G392" t="s">
        <v>1271</v>
      </c>
      <c r="H392" t="s">
        <v>47</v>
      </c>
      <c r="I392" t="s">
        <v>24</v>
      </c>
      <c r="J392" t="s">
        <v>63</v>
      </c>
      <c r="K392" t="s">
        <v>180</v>
      </c>
      <c r="L392" t="s">
        <v>181</v>
      </c>
      <c r="M392" t="s">
        <v>41</v>
      </c>
      <c r="N392" t="s">
        <v>57</v>
      </c>
      <c r="O392" t="s">
        <v>1272</v>
      </c>
      <c r="P392" t="s">
        <v>59</v>
      </c>
      <c r="Q392">
        <v>4</v>
      </c>
      <c r="R392">
        <v>1917.26</v>
      </c>
      <c r="S392">
        <v>0.2</v>
      </c>
      <c r="T392" s="12">
        <f>S392</f>
        <v>0.2</v>
      </c>
      <c r="U392">
        <v>6135.23</v>
      </c>
      <c r="V392">
        <f>Q392*R392*(1-S392)</f>
        <v>6135.232</v>
      </c>
      <c r="W392">
        <v>3439.79</v>
      </c>
      <c r="X392">
        <v>2695.44</v>
      </c>
      <c r="Y392">
        <f>V392-W392</f>
        <v>2695.442</v>
      </c>
      <c r="Z392" s="12">
        <f>Y392/V392</f>
        <v>0.43933823529411764</v>
      </c>
      <c r="AA392" t="s">
        <v>32</v>
      </c>
      <c r="AB392" t="s">
        <v>33</v>
      </c>
      <c r="AC392" s="14" t="s">
        <v>2794</v>
      </c>
      <c r="AD392" t="s">
        <v>2782</v>
      </c>
      <c r="AE392" t="str">
        <f>PROPER(TRIM(AB392))</f>
        <v>Completed</v>
      </c>
      <c r="AS392" t="str">
        <f t="shared" si="8"/>
        <v/>
      </c>
    </row>
    <row r="393" spans="1:45">
      <c r="A393" t="s">
        <v>1273</v>
      </c>
      <c r="B393" s="7">
        <v>45702</v>
      </c>
      <c r="C393" s="4">
        <v>45702</v>
      </c>
      <c r="D393">
        <f>C393-B393</f>
        <v>0</v>
      </c>
      <c r="E393" t="str">
        <f>TEXT(B393,"mmmm")</f>
        <v>February</v>
      </c>
      <c r="F393">
        <f>YEAR(B393)</f>
        <v>2025</v>
      </c>
      <c r="G393" t="s">
        <v>1274</v>
      </c>
      <c r="H393" t="s">
        <v>162</v>
      </c>
      <c r="I393" t="s">
        <v>24</v>
      </c>
      <c r="J393" t="s">
        <v>54</v>
      </c>
      <c r="K393" t="s">
        <v>175</v>
      </c>
      <c r="L393" t="s">
        <v>176</v>
      </c>
      <c r="M393" t="s">
        <v>28</v>
      </c>
      <c r="N393" t="s">
        <v>124</v>
      </c>
      <c r="O393" t="s">
        <v>1275</v>
      </c>
      <c r="P393" t="s">
        <v>50</v>
      </c>
      <c r="Q393">
        <v>1</v>
      </c>
      <c r="R393">
        <v>714.43</v>
      </c>
      <c r="S393">
        <v>0</v>
      </c>
      <c r="T393" s="12">
        <f>S393</f>
        <v>0</v>
      </c>
      <c r="U393">
        <v>714.43</v>
      </c>
      <c r="V393">
        <f>Q393*R393*(1-S393)</f>
        <v>714.43</v>
      </c>
      <c r="W393">
        <v>565.44000000000005</v>
      </c>
      <c r="X393">
        <v>148.99</v>
      </c>
      <c r="Y393">
        <f>V393-W393</f>
        <v>148.9899999999999</v>
      </c>
      <c r="Z393" s="12">
        <f>Y393/V393</f>
        <v>0.20854387413742412</v>
      </c>
      <c r="AA393" t="s">
        <v>32</v>
      </c>
      <c r="AB393" t="s">
        <v>33</v>
      </c>
      <c r="AC393" s="14" t="s">
        <v>2794</v>
      </c>
      <c r="AD393" t="s">
        <v>2782</v>
      </c>
      <c r="AE393" t="str">
        <f>PROPER(TRIM(AB393))</f>
        <v>Completed</v>
      </c>
      <c r="AS393" t="str">
        <f t="shared" si="8"/>
        <v/>
      </c>
    </row>
    <row r="394" spans="1:45">
      <c r="A394" t="s">
        <v>1276</v>
      </c>
      <c r="B394" s="7">
        <v>45341</v>
      </c>
      <c r="C394" s="4">
        <v>45344</v>
      </c>
      <c r="D394">
        <f>C394-B394</f>
        <v>3</v>
      </c>
      <c r="E394" t="str">
        <f>TEXT(B394,"mmmm")</f>
        <v>February</v>
      </c>
      <c r="F394">
        <f>YEAR(B394)</f>
        <v>2024</v>
      </c>
      <c r="G394" t="s">
        <v>1277</v>
      </c>
      <c r="H394" t="s">
        <v>89</v>
      </c>
      <c r="I394" t="s">
        <v>37</v>
      </c>
      <c r="J394" t="s">
        <v>54</v>
      </c>
      <c r="K394" t="s">
        <v>185</v>
      </c>
      <c r="L394" t="s">
        <v>186</v>
      </c>
      <c r="M394" t="s">
        <v>41</v>
      </c>
      <c r="N394" t="s">
        <v>57</v>
      </c>
      <c r="O394" t="s">
        <v>1278</v>
      </c>
      <c r="P394" t="s">
        <v>44</v>
      </c>
      <c r="Q394">
        <v>9</v>
      </c>
      <c r="R394">
        <v>4053.01</v>
      </c>
      <c r="S394">
        <v>0</v>
      </c>
      <c r="T394" s="12">
        <f>S394</f>
        <v>0</v>
      </c>
      <c r="U394">
        <v>36477.089999999997</v>
      </c>
      <c r="V394">
        <f>Q394*R394*(1-S394)</f>
        <v>36477.090000000004</v>
      </c>
      <c r="W394">
        <v>24525.48</v>
      </c>
      <c r="X394">
        <v>11951.61</v>
      </c>
      <c r="Y394">
        <f>V394-W394</f>
        <v>11951.610000000004</v>
      </c>
      <c r="Z394" s="12">
        <f>Y394/V394</f>
        <v>0.32764702447481425</v>
      </c>
      <c r="AA394" t="s">
        <v>32</v>
      </c>
      <c r="AB394" t="s">
        <v>33</v>
      </c>
      <c r="AC394" s="14" t="s">
        <v>2794</v>
      </c>
      <c r="AD394" t="s">
        <v>2782</v>
      </c>
      <c r="AE394" t="str">
        <f>PROPER(TRIM(AB394))</f>
        <v>Completed</v>
      </c>
      <c r="AS394" t="str">
        <f t="shared" si="8"/>
        <v/>
      </c>
    </row>
    <row r="395" spans="1:45">
      <c r="A395" t="s">
        <v>1279</v>
      </c>
      <c r="B395" s="7">
        <v>45527</v>
      </c>
      <c r="C395" s="4">
        <v>45533</v>
      </c>
      <c r="D395">
        <f>C395-B395</f>
        <v>6</v>
      </c>
      <c r="E395" t="str">
        <f>TEXT(B395,"mmmm")</f>
        <v>August</v>
      </c>
      <c r="F395">
        <f>YEAR(B395)</f>
        <v>2024</v>
      </c>
      <c r="G395" t="s">
        <v>1280</v>
      </c>
      <c r="H395" t="s">
        <v>36</v>
      </c>
      <c r="I395" t="s">
        <v>90</v>
      </c>
      <c r="J395" t="s">
        <v>25</v>
      </c>
      <c r="K395" t="s">
        <v>136</v>
      </c>
      <c r="L395" t="s">
        <v>137</v>
      </c>
      <c r="M395" t="s">
        <v>28</v>
      </c>
      <c r="N395" t="s">
        <v>91</v>
      </c>
      <c r="O395" t="s">
        <v>1281</v>
      </c>
      <c r="P395" t="s">
        <v>44</v>
      </c>
      <c r="Q395">
        <v>2</v>
      </c>
      <c r="R395">
        <v>1936.91</v>
      </c>
      <c r="S395">
        <v>0.05</v>
      </c>
      <c r="T395" s="12">
        <f>S395</f>
        <v>0.05</v>
      </c>
      <c r="U395">
        <v>3680.13</v>
      </c>
      <c r="V395">
        <f>Q395*R395*(1-S395)</f>
        <v>3680.1289999999999</v>
      </c>
      <c r="W395">
        <v>2967.46</v>
      </c>
      <c r="X395">
        <v>712.67</v>
      </c>
      <c r="Y395">
        <f>V395-W395</f>
        <v>712.66899999999987</v>
      </c>
      <c r="Z395" s="12">
        <f>Y395/V395</f>
        <v>0.19365326595888346</v>
      </c>
      <c r="AA395" t="s">
        <v>32</v>
      </c>
      <c r="AB395" t="s">
        <v>33</v>
      </c>
      <c r="AC395" s="14" t="s">
        <v>2794</v>
      </c>
      <c r="AD395" t="s">
        <v>2782</v>
      </c>
      <c r="AE395" t="str">
        <f>PROPER(TRIM(AB395))</f>
        <v>Completed</v>
      </c>
      <c r="AS395" t="str">
        <f t="shared" si="8"/>
        <v/>
      </c>
    </row>
    <row r="396" spans="1:45">
      <c r="A396" t="s">
        <v>1282</v>
      </c>
      <c r="B396" s="7">
        <v>45385</v>
      </c>
      <c r="C396" s="4">
        <v>45386</v>
      </c>
      <c r="D396">
        <f>C396-B396</f>
        <v>1</v>
      </c>
      <c r="E396" t="str">
        <f>TEXT(B396,"mmmm")</f>
        <v>April</v>
      </c>
      <c r="F396">
        <f>YEAR(B396)</f>
        <v>2024</v>
      </c>
      <c r="G396" t="s">
        <v>1283</v>
      </c>
      <c r="H396" t="s">
        <v>264</v>
      </c>
      <c r="I396" t="s">
        <v>24</v>
      </c>
      <c r="J396" t="s">
        <v>63</v>
      </c>
      <c r="K396" t="s">
        <v>64</v>
      </c>
      <c r="L396" t="s">
        <v>65</v>
      </c>
      <c r="M396" t="s">
        <v>41</v>
      </c>
      <c r="N396" t="s">
        <v>57</v>
      </c>
      <c r="O396" t="s">
        <v>1284</v>
      </c>
      <c r="P396" t="s">
        <v>50</v>
      </c>
      <c r="Q396">
        <v>7</v>
      </c>
      <c r="R396">
        <v>3945.21</v>
      </c>
      <c r="S396">
        <v>0</v>
      </c>
      <c r="T396" s="12">
        <f>S396</f>
        <v>0</v>
      </c>
      <c r="U396">
        <v>27616.47</v>
      </c>
      <c r="V396">
        <f>Q396*R396*(1-S396)</f>
        <v>27616.47</v>
      </c>
      <c r="W396">
        <v>21225.26</v>
      </c>
      <c r="X396">
        <v>6391.21</v>
      </c>
      <c r="Y396">
        <f>V396-W396</f>
        <v>6391.2100000000028</v>
      </c>
      <c r="Z396" s="12">
        <f>Y396/V396</f>
        <v>0.23142747787823725</v>
      </c>
      <c r="AA396" t="s">
        <v>32</v>
      </c>
      <c r="AB396" t="s">
        <v>33</v>
      </c>
      <c r="AC396" s="14" t="s">
        <v>2794</v>
      </c>
      <c r="AD396" t="s">
        <v>2782</v>
      </c>
      <c r="AE396" t="str">
        <f>PROPER(TRIM(AB396))</f>
        <v>Completed</v>
      </c>
      <c r="AS396" t="str">
        <f t="shared" si="8"/>
        <v/>
      </c>
    </row>
    <row r="397" spans="1:45">
      <c r="A397" t="s">
        <v>1285</v>
      </c>
      <c r="B397" s="7">
        <v>45449</v>
      </c>
      <c r="C397" s="4">
        <v>45479</v>
      </c>
      <c r="D397">
        <f>C397-B397</f>
        <v>30</v>
      </c>
      <c r="E397" t="str">
        <f>TEXT(B397,"mmmm")</f>
        <v>June</v>
      </c>
      <c r="F397">
        <f>YEAR(B397)</f>
        <v>2024</v>
      </c>
      <c r="G397" t="s">
        <v>1286</v>
      </c>
      <c r="H397" t="s">
        <v>118</v>
      </c>
      <c r="I397" t="s">
        <v>95</v>
      </c>
      <c r="J397" t="s">
        <v>54</v>
      </c>
      <c r="K397" t="s">
        <v>247</v>
      </c>
      <c r="L397" t="s">
        <v>248</v>
      </c>
      <c r="M397" t="s">
        <v>41</v>
      </c>
      <c r="N397" t="s">
        <v>42</v>
      </c>
      <c r="O397" t="s">
        <v>1287</v>
      </c>
      <c r="P397" t="s">
        <v>44</v>
      </c>
      <c r="Q397">
        <v>7</v>
      </c>
      <c r="R397">
        <v>861.91</v>
      </c>
      <c r="S397">
        <v>0.05</v>
      </c>
      <c r="T397" s="12">
        <f>S397</f>
        <v>0.05</v>
      </c>
      <c r="U397">
        <v>5731.7</v>
      </c>
      <c r="V397">
        <f>Q397*R397*(1-S397)</f>
        <v>5731.7014999999992</v>
      </c>
      <c r="W397">
        <v>4115.5600000000004</v>
      </c>
      <c r="X397">
        <v>1616.14</v>
      </c>
      <c r="Y397">
        <f>V397-W397</f>
        <v>1616.1414999999988</v>
      </c>
      <c r="Z397" s="12">
        <f>Y397/V397</f>
        <v>0.28196539893084088</v>
      </c>
      <c r="AA397" t="s">
        <v>32</v>
      </c>
      <c r="AB397" t="s">
        <v>33</v>
      </c>
      <c r="AC397" s="14" t="s">
        <v>2794</v>
      </c>
      <c r="AD397" t="s">
        <v>2782</v>
      </c>
      <c r="AE397" t="str">
        <f>PROPER(TRIM(AB397))</f>
        <v>Completed</v>
      </c>
      <c r="AS397" t="str">
        <f t="shared" si="8"/>
        <v/>
      </c>
    </row>
    <row r="398" spans="1:45">
      <c r="A398" t="s">
        <v>1288</v>
      </c>
      <c r="B398" s="7">
        <v>45761</v>
      </c>
      <c r="C398" s="4">
        <v>45769</v>
      </c>
      <c r="D398">
        <f>C398-B398</f>
        <v>8</v>
      </c>
      <c r="E398" t="str">
        <f>TEXT(B398,"mmmm")</f>
        <v>April</v>
      </c>
      <c r="F398">
        <f>YEAR(B398)</f>
        <v>2025</v>
      </c>
      <c r="G398" t="s">
        <v>1289</v>
      </c>
      <c r="H398" t="s">
        <v>89</v>
      </c>
      <c r="I398" t="s">
        <v>37</v>
      </c>
      <c r="J398" t="s">
        <v>54</v>
      </c>
      <c r="K398" t="s">
        <v>175</v>
      </c>
      <c r="L398" t="s">
        <v>176</v>
      </c>
      <c r="M398" t="s">
        <v>74</v>
      </c>
      <c r="N398" t="s">
        <v>274</v>
      </c>
      <c r="O398" t="s">
        <v>1290</v>
      </c>
      <c r="P398" t="s">
        <v>59</v>
      </c>
      <c r="Q398">
        <v>2</v>
      </c>
      <c r="R398">
        <v>638.73</v>
      </c>
      <c r="S398">
        <v>0.05</v>
      </c>
      <c r="T398" s="12">
        <f>S398</f>
        <v>0.05</v>
      </c>
      <c r="U398">
        <v>1213.5899999999999</v>
      </c>
      <c r="V398">
        <f>Q398*R398*(1-S398)</f>
        <v>1213.587</v>
      </c>
      <c r="W398">
        <v>956.22</v>
      </c>
      <c r="X398">
        <v>257.37</v>
      </c>
      <c r="Y398">
        <f>V398-W398</f>
        <v>257.36699999999996</v>
      </c>
      <c r="Z398" s="12">
        <f>Y398/V398</f>
        <v>0.21207132245154239</v>
      </c>
      <c r="AA398" t="s">
        <v>32</v>
      </c>
      <c r="AB398" t="s">
        <v>33</v>
      </c>
      <c r="AC398" s="14" t="s">
        <v>2794</v>
      </c>
      <c r="AD398" t="s">
        <v>2782</v>
      </c>
      <c r="AE398" t="str">
        <f>PROPER(TRIM(AB398))</f>
        <v>Completed</v>
      </c>
      <c r="AS398" t="str">
        <f t="shared" si="8"/>
        <v/>
      </c>
    </row>
    <row r="399" spans="1:45">
      <c r="A399" t="s">
        <v>1291</v>
      </c>
      <c r="B399" s="7">
        <v>45817</v>
      </c>
      <c r="C399" s="4">
        <v>45818</v>
      </c>
      <c r="D399">
        <f>C399-B399</f>
        <v>1</v>
      </c>
      <c r="E399" t="str">
        <f>TEXT(B399,"mmmm")</f>
        <v>June</v>
      </c>
      <c r="F399">
        <f>YEAR(B399)</f>
        <v>2025</v>
      </c>
      <c r="G399" t="s">
        <v>1292</v>
      </c>
      <c r="H399" t="s">
        <v>132</v>
      </c>
      <c r="I399" t="s">
        <v>37</v>
      </c>
      <c r="J399" t="s">
        <v>25</v>
      </c>
      <c r="K399" t="s">
        <v>136</v>
      </c>
      <c r="L399" t="s">
        <v>137</v>
      </c>
      <c r="M399" t="s">
        <v>41</v>
      </c>
      <c r="N399" t="s">
        <v>42</v>
      </c>
      <c r="O399" t="s">
        <v>1293</v>
      </c>
      <c r="P399" t="s">
        <v>31</v>
      </c>
      <c r="Q399">
        <v>2</v>
      </c>
      <c r="R399">
        <v>1731.88</v>
      </c>
      <c r="S399">
        <v>0</v>
      </c>
      <c r="T399" s="12">
        <f>S399</f>
        <v>0</v>
      </c>
      <c r="U399">
        <v>3463.76</v>
      </c>
      <c r="V399">
        <f>Q399*R399*(1-S399)</f>
        <v>3463.76</v>
      </c>
      <c r="W399">
        <v>2143.7399999999998</v>
      </c>
      <c r="X399">
        <v>1320.02</v>
      </c>
      <c r="Y399">
        <f>V399-W399</f>
        <v>1320.0200000000004</v>
      </c>
      <c r="Z399" s="12">
        <f>Y399/V399</f>
        <v>0.38109453310852959</v>
      </c>
      <c r="AA399" t="s">
        <v>32</v>
      </c>
      <c r="AB399" t="s">
        <v>33</v>
      </c>
      <c r="AC399" s="14" t="s">
        <v>2794</v>
      </c>
      <c r="AD399" t="s">
        <v>2782</v>
      </c>
      <c r="AE399" t="str">
        <f>PROPER(TRIM(AB399))</f>
        <v>Completed</v>
      </c>
      <c r="AS399" t="str">
        <f t="shared" si="8"/>
        <v/>
      </c>
    </row>
    <row r="400" spans="1:45">
      <c r="A400" t="s">
        <v>1294</v>
      </c>
      <c r="B400" s="7">
        <v>45492</v>
      </c>
      <c r="C400" s="4">
        <v>45499</v>
      </c>
      <c r="D400">
        <f>C400-B400</f>
        <v>7</v>
      </c>
      <c r="E400" t="str">
        <f>TEXT(B400,"mmmm")</f>
        <v>July</v>
      </c>
      <c r="F400">
        <f>YEAR(B400)</f>
        <v>2024</v>
      </c>
      <c r="G400" t="s">
        <v>1295</v>
      </c>
      <c r="H400" t="s">
        <v>71</v>
      </c>
      <c r="I400" t="s">
        <v>90</v>
      </c>
      <c r="J400" t="s">
        <v>25</v>
      </c>
      <c r="K400" t="s">
        <v>122</v>
      </c>
      <c r="L400" t="s">
        <v>123</v>
      </c>
      <c r="M400" t="s">
        <v>74</v>
      </c>
      <c r="N400" t="s">
        <v>274</v>
      </c>
      <c r="O400" t="s">
        <v>1296</v>
      </c>
      <c r="P400" t="s">
        <v>44</v>
      </c>
      <c r="Q400">
        <v>2</v>
      </c>
      <c r="R400">
        <v>1263.6500000000001</v>
      </c>
      <c r="S400">
        <v>0.2</v>
      </c>
      <c r="T400" s="12">
        <f>S400</f>
        <v>0.2</v>
      </c>
      <c r="U400">
        <v>2021.84</v>
      </c>
      <c r="V400">
        <f>Q400*R400*(1-S400)</f>
        <v>2021.8400000000001</v>
      </c>
      <c r="W400">
        <v>1355.22</v>
      </c>
      <c r="X400">
        <v>666.62</v>
      </c>
      <c r="Y400">
        <f>V400-W400</f>
        <v>666.62000000000012</v>
      </c>
      <c r="Z400" s="12">
        <f>Y400/V400</f>
        <v>0.32970957147944452</v>
      </c>
      <c r="AA400" t="s">
        <v>32</v>
      </c>
      <c r="AB400" t="s">
        <v>33</v>
      </c>
      <c r="AC400" s="14" t="s">
        <v>2794</v>
      </c>
      <c r="AD400" t="s">
        <v>2782</v>
      </c>
      <c r="AE400" t="str">
        <f>PROPER(TRIM(AB400))</f>
        <v>Completed</v>
      </c>
      <c r="AS400" t="str">
        <f t="shared" si="8"/>
        <v/>
      </c>
    </row>
    <row r="401" spans="1:45">
      <c r="A401" t="s">
        <v>1297</v>
      </c>
      <c r="B401" s="7">
        <v>45771</v>
      </c>
      <c r="C401" s="4">
        <v>45776</v>
      </c>
      <c r="D401">
        <f>C401-B401</f>
        <v>5</v>
      </c>
      <c r="E401" t="str">
        <f>TEXT(B401,"mmmm")</f>
        <v>April</v>
      </c>
      <c r="F401">
        <f>YEAR(B401)</f>
        <v>2025</v>
      </c>
      <c r="G401" t="s">
        <v>1298</v>
      </c>
      <c r="H401" t="s">
        <v>162</v>
      </c>
      <c r="I401" t="s">
        <v>37</v>
      </c>
      <c r="J401" t="s">
        <v>54</v>
      </c>
      <c r="K401" t="s">
        <v>84</v>
      </c>
      <c r="L401" t="s">
        <v>85</v>
      </c>
      <c r="M401" t="s">
        <v>28</v>
      </c>
      <c r="N401" t="s">
        <v>29</v>
      </c>
      <c r="O401" t="s">
        <v>1299</v>
      </c>
      <c r="P401" t="s">
        <v>44</v>
      </c>
      <c r="Q401">
        <v>1</v>
      </c>
      <c r="R401">
        <v>4358.5</v>
      </c>
      <c r="S401">
        <v>0.25</v>
      </c>
      <c r="T401" s="12">
        <f>S401</f>
        <v>0.25</v>
      </c>
      <c r="U401">
        <v>3268.88</v>
      </c>
      <c r="V401">
        <f>Q401*R401*(1-S401)</f>
        <v>3268.875</v>
      </c>
      <c r="W401">
        <v>1993.74</v>
      </c>
      <c r="X401">
        <v>1275.1400000000001</v>
      </c>
      <c r="Y401">
        <f>V401-W401</f>
        <v>1275.135</v>
      </c>
      <c r="Z401" s="12">
        <f>Y401/V401</f>
        <v>0.39008374440747962</v>
      </c>
      <c r="AA401" t="s">
        <v>32</v>
      </c>
      <c r="AB401" t="s">
        <v>33</v>
      </c>
      <c r="AC401" s="14" t="s">
        <v>2794</v>
      </c>
      <c r="AD401" t="s">
        <v>2782</v>
      </c>
      <c r="AE401" t="str">
        <f>PROPER(TRIM(AB401))</f>
        <v>Completed</v>
      </c>
      <c r="AS401" t="str">
        <f t="shared" si="8"/>
        <v/>
      </c>
    </row>
    <row r="402" spans="1:45">
      <c r="A402" t="s">
        <v>1300</v>
      </c>
      <c r="B402" s="7">
        <v>45814</v>
      </c>
      <c r="C402" s="4">
        <v>45819</v>
      </c>
      <c r="D402">
        <f>C402-B402</f>
        <v>5</v>
      </c>
      <c r="E402" t="str">
        <f>TEXT(B402,"mmmm")</f>
        <v>June</v>
      </c>
      <c r="F402">
        <f>YEAR(B402)</f>
        <v>2025</v>
      </c>
      <c r="G402" t="s">
        <v>1301</v>
      </c>
      <c r="H402" t="s">
        <v>132</v>
      </c>
      <c r="I402" t="s">
        <v>37</v>
      </c>
      <c r="J402" t="s">
        <v>25</v>
      </c>
      <c r="K402" t="s">
        <v>136</v>
      </c>
      <c r="L402" t="s">
        <v>137</v>
      </c>
      <c r="M402" t="s">
        <v>28</v>
      </c>
      <c r="N402" t="s">
        <v>29</v>
      </c>
      <c r="O402" t="s">
        <v>1302</v>
      </c>
      <c r="P402" t="s">
        <v>44</v>
      </c>
      <c r="Q402">
        <v>7</v>
      </c>
      <c r="R402">
        <v>878.09</v>
      </c>
      <c r="S402">
        <v>-0.1</v>
      </c>
      <c r="T402" s="13">
        <f>S402</f>
        <v>-0.1</v>
      </c>
      <c r="U402">
        <v>5839.3</v>
      </c>
      <c r="V402">
        <f>Q402*R402*(1-S402)</f>
        <v>6761.2930000000006</v>
      </c>
      <c r="W402">
        <v>4877.38</v>
      </c>
      <c r="X402">
        <v>961.92</v>
      </c>
      <c r="Y402">
        <f>V402-W402</f>
        <v>1883.9130000000005</v>
      </c>
      <c r="Z402" s="12">
        <f>Y402/V402</f>
        <v>0.27863206046535777</v>
      </c>
      <c r="AA402" t="s">
        <v>32</v>
      </c>
      <c r="AB402" t="s">
        <v>33</v>
      </c>
      <c r="AC402" s="10" t="s">
        <v>2793</v>
      </c>
      <c r="AD402" t="s">
        <v>2782</v>
      </c>
      <c r="AE402" t="str">
        <f>PROPER(TRIM(AB402))</f>
        <v>Completed</v>
      </c>
      <c r="AS402" t="str">
        <f t="shared" si="8"/>
        <v/>
      </c>
    </row>
    <row r="403" spans="1:45">
      <c r="A403" t="s">
        <v>1303</v>
      </c>
      <c r="B403" s="7">
        <v>45725</v>
      </c>
      <c r="C403" s="4">
        <v>45732</v>
      </c>
      <c r="D403">
        <f>C403-B403</f>
        <v>7</v>
      </c>
      <c r="E403" t="str">
        <f>TEXT(B403,"mmmm")</f>
        <v>March</v>
      </c>
      <c r="F403">
        <f>YEAR(B403)</f>
        <v>2025</v>
      </c>
      <c r="G403" t="s">
        <v>1304</v>
      </c>
      <c r="H403" t="s">
        <v>53</v>
      </c>
      <c r="I403" t="s">
        <v>37</v>
      </c>
      <c r="J403" t="s">
        <v>38</v>
      </c>
      <c r="K403" t="s">
        <v>228</v>
      </c>
      <c r="L403" t="s">
        <v>229</v>
      </c>
      <c r="M403" t="s">
        <v>41</v>
      </c>
      <c r="N403" t="s">
        <v>42</v>
      </c>
      <c r="O403" t="s">
        <v>1305</v>
      </c>
      <c r="P403" t="s">
        <v>44</v>
      </c>
      <c r="Q403">
        <v>3</v>
      </c>
      <c r="R403">
        <v>2625.85</v>
      </c>
      <c r="S403">
        <v>0</v>
      </c>
      <c r="T403" s="12">
        <f>S403</f>
        <v>0</v>
      </c>
      <c r="U403">
        <v>7877.55</v>
      </c>
      <c r="V403">
        <f>Q403*R403*(1-S403)</f>
        <v>7877.5499999999993</v>
      </c>
      <c r="W403">
        <v>5562.77</v>
      </c>
      <c r="X403">
        <v>2314.7800000000002</v>
      </c>
      <c r="Y403">
        <f>V403-W403</f>
        <v>2314.7799999999988</v>
      </c>
      <c r="Z403" s="12">
        <f>Y403/V403</f>
        <v>0.29384516759652418</v>
      </c>
      <c r="AA403" t="s">
        <v>32</v>
      </c>
      <c r="AB403" t="s">
        <v>33</v>
      </c>
      <c r="AC403" s="14" t="s">
        <v>2794</v>
      </c>
      <c r="AD403" t="s">
        <v>2782</v>
      </c>
      <c r="AE403" t="str">
        <f>PROPER(TRIM(AB403))</f>
        <v>Completed</v>
      </c>
      <c r="AS403" t="str">
        <f t="shared" si="8"/>
        <v/>
      </c>
    </row>
    <row r="404" spans="1:45">
      <c r="A404" t="s">
        <v>1306</v>
      </c>
      <c r="B404" s="7">
        <v>45373</v>
      </c>
      <c r="C404" s="4">
        <v>45373</v>
      </c>
      <c r="D404">
        <f>C404-B404</f>
        <v>0</v>
      </c>
      <c r="E404" t="str">
        <f>TEXT(B404,"mmmm")</f>
        <v>March</v>
      </c>
      <c r="F404">
        <f>YEAR(B404)</f>
        <v>2024</v>
      </c>
      <c r="G404" t="s">
        <v>1307</v>
      </c>
      <c r="H404" t="s">
        <v>114</v>
      </c>
      <c r="I404" t="s">
        <v>37</v>
      </c>
      <c r="J404" t="s">
        <v>54</v>
      </c>
      <c r="K404" t="s">
        <v>175</v>
      </c>
      <c r="L404" t="s">
        <v>176</v>
      </c>
      <c r="M404" t="s">
        <v>41</v>
      </c>
      <c r="N404" t="s">
        <v>42</v>
      </c>
      <c r="O404" t="s">
        <v>1308</v>
      </c>
      <c r="P404" t="s">
        <v>2783</v>
      </c>
      <c r="Q404">
        <v>3</v>
      </c>
      <c r="R404">
        <v>1365.26</v>
      </c>
      <c r="S404">
        <v>0</v>
      </c>
      <c r="T404" s="12">
        <f>S404</f>
        <v>0</v>
      </c>
      <c r="U404">
        <v>4095.78</v>
      </c>
      <c r="V404">
        <f>Q404*R404*(1-S404)</f>
        <v>4095.7799999999997</v>
      </c>
      <c r="W404">
        <v>2807.77</v>
      </c>
      <c r="X404">
        <v>1288.01</v>
      </c>
      <c r="Y404">
        <f>V404-W404</f>
        <v>1288.0099999999998</v>
      </c>
      <c r="Z404" s="12">
        <f>Y404/V404</f>
        <v>0.31447245701673426</v>
      </c>
      <c r="AA404" t="s">
        <v>32</v>
      </c>
      <c r="AB404" t="s">
        <v>33</v>
      </c>
      <c r="AC404" s="10" t="s">
        <v>2795</v>
      </c>
      <c r="AD404" t="s">
        <v>2782</v>
      </c>
      <c r="AE404" t="str">
        <f>PROPER(TRIM(AB404))</f>
        <v>Completed</v>
      </c>
      <c r="AS404" t="str">
        <f t="shared" si="8"/>
        <v/>
      </c>
    </row>
    <row r="405" spans="1:45">
      <c r="A405" t="s">
        <v>1309</v>
      </c>
      <c r="B405" s="7">
        <v>45565</v>
      </c>
      <c r="C405" s="4">
        <v>45569</v>
      </c>
      <c r="D405">
        <f>C405-B405</f>
        <v>4</v>
      </c>
      <c r="E405" t="str">
        <f>TEXT(B405,"mmmm")</f>
        <v>September</v>
      </c>
      <c r="F405">
        <f>YEAR(B405)</f>
        <v>2024</v>
      </c>
      <c r="G405" t="s">
        <v>1310</v>
      </c>
      <c r="H405" t="s">
        <v>53</v>
      </c>
      <c r="I405" t="s">
        <v>37</v>
      </c>
      <c r="J405" t="s">
        <v>54</v>
      </c>
      <c r="K405" t="s">
        <v>185</v>
      </c>
      <c r="L405" t="s">
        <v>186</v>
      </c>
      <c r="M405" t="s">
        <v>28</v>
      </c>
      <c r="N405" t="s">
        <v>29</v>
      </c>
      <c r="O405" t="s">
        <v>1311</v>
      </c>
      <c r="P405" t="s">
        <v>44</v>
      </c>
      <c r="Q405">
        <v>5</v>
      </c>
      <c r="R405">
        <v>3512.25</v>
      </c>
      <c r="S405">
        <v>0.05</v>
      </c>
      <c r="T405" s="12">
        <f>S405</f>
        <v>0.05</v>
      </c>
      <c r="U405">
        <v>16683.189999999999</v>
      </c>
      <c r="V405">
        <f>Q405*R405*(1-S405)</f>
        <v>16683.1875</v>
      </c>
      <c r="W405">
        <v>10301.16</v>
      </c>
      <c r="X405">
        <v>6382.03</v>
      </c>
      <c r="Y405">
        <f>V405-W405</f>
        <v>6382.0275000000001</v>
      </c>
      <c r="Z405" s="12">
        <f>Y405/V405</f>
        <v>0.38254245479168775</v>
      </c>
      <c r="AA405" t="s">
        <v>32</v>
      </c>
      <c r="AB405" t="s">
        <v>103</v>
      </c>
      <c r="AC405" s="14" t="s">
        <v>2794</v>
      </c>
      <c r="AD405" t="s">
        <v>2782</v>
      </c>
      <c r="AE405" t="str">
        <f>PROPER(TRIM(AB405))</f>
        <v>Returned</v>
      </c>
      <c r="AS405" t="str">
        <f t="shared" si="8"/>
        <v/>
      </c>
    </row>
    <row r="406" spans="1:45">
      <c r="A406" t="s">
        <v>1312</v>
      </c>
      <c r="B406" s="7">
        <v>45318</v>
      </c>
      <c r="C406" s="4">
        <v>45353</v>
      </c>
      <c r="D406">
        <f>C406-B406</f>
        <v>35</v>
      </c>
      <c r="E406" t="str">
        <f>TEXT(B406,"mmmm")</f>
        <v>January</v>
      </c>
      <c r="F406">
        <f>YEAR(B406)</f>
        <v>2024</v>
      </c>
      <c r="G406" t="s">
        <v>1313</v>
      </c>
      <c r="H406" t="s">
        <v>89</v>
      </c>
      <c r="I406" t="s">
        <v>90</v>
      </c>
      <c r="J406" t="s">
        <v>63</v>
      </c>
      <c r="K406" t="s">
        <v>26</v>
      </c>
      <c r="L406" t="s">
        <v>109</v>
      </c>
      <c r="M406" t="s">
        <v>41</v>
      </c>
      <c r="N406" t="s">
        <v>66</v>
      </c>
      <c r="O406" t="s">
        <v>1314</v>
      </c>
      <c r="P406" t="s">
        <v>44</v>
      </c>
      <c r="Q406">
        <v>3</v>
      </c>
      <c r="R406">
        <v>359.61</v>
      </c>
      <c r="S406">
        <v>0</v>
      </c>
      <c r="T406" s="12">
        <f>S406</f>
        <v>0</v>
      </c>
      <c r="U406">
        <v>1078.83</v>
      </c>
      <c r="V406">
        <f>Q406*R406*(1-S406)</f>
        <v>1078.83</v>
      </c>
      <c r="W406">
        <v>926.35</v>
      </c>
      <c r="X406">
        <v>152.47999999999999</v>
      </c>
      <c r="Y406">
        <f>V406-W406</f>
        <v>152.4799999999999</v>
      </c>
      <c r="Z406" s="12">
        <f>Y406/V406</f>
        <v>0.14133830167867034</v>
      </c>
      <c r="AA406" t="s">
        <v>32</v>
      </c>
      <c r="AB406" t="s">
        <v>33</v>
      </c>
      <c r="AC406" s="14" t="s">
        <v>2794</v>
      </c>
      <c r="AD406" t="s">
        <v>2782</v>
      </c>
      <c r="AE406" t="str">
        <f>PROPER(TRIM(AB406))</f>
        <v>Completed</v>
      </c>
      <c r="AS406" t="str">
        <f t="shared" si="8"/>
        <v/>
      </c>
    </row>
    <row r="407" spans="1:45">
      <c r="A407" t="s">
        <v>1315</v>
      </c>
      <c r="B407" s="7">
        <v>45558</v>
      </c>
      <c r="C407" s="4">
        <v>45559</v>
      </c>
      <c r="D407">
        <f>C407-B407</f>
        <v>1</v>
      </c>
      <c r="E407" t="str">
        <f>TEXT(B407,"mmmm")</f>
        <v>September</v>
      </c>
      <c r="F407">
        <f>YEAR(B407)</f>
        <v>2024</v>
      </c>
      <c r="G407" t="s">
        <v>1316</v>
      </c>
      <c r="H407" t="s">
        <v>89</v>
      </c>
      <c r="I407" t="s">
        <v>95</v>
      </c>
      <c r="J407" t="s">
        <v>63</v>
      </c>
      <c r="K407" t="s">
        <v>180</v>
      </c>
      <c r="L407" t="s">
        <v>181</v>
      </c>
      <c r="M407" t="s">
        <v>41</v>
      </c>
      <c r="N407" t="s">
        <v>158</v>
      </c>
      <c r="O407" t="s">
        <v>1317</v>
      </c>
      <c r="P407" t="s">
        <v>2783</v>
      </c>
      <c r="Q407">
        <v>7</v>
      </c>
      <c r="R407">
        <v>3878.01</v>
      </c>
      <c r="S407">
        <v>0.1</v>
      </c>
      <c r="T407" s="12">
        <f>S407</f>
        <v>0.1</v>
      </c>
      <c r="U407">
        <v>24431.46</v>
      </c>
      <c r="V407">
        <f>Q407*R407*(1-S407)</f>
        <v>24431.463</v>
      </c>
      <c r="W407">
        <v>18202.36</v>
      </c>
      <c r="X407">
        <v>6229.1</v>
      </c>
      <c r="Y407">
        <f>V407-W407</f>
        <v>6229.1029999999992</v>
      </c>
      <c r="Z407" s="12">
        <f>Y407/V407</f>
        <v>0.25496234097810677</v>
      </c>
      <c r="AA407" t="s">
        <v>32</v>
      </c>
      <c r="AB407" t="s">
        <v>33</v>
      </c>
      <c r="AC407" s="10" t="s">
        <v>2795</v>
      </c>
      <c r="AD407" t="s">
        <v>2782</v>
      </c>
      <c r="AE407" t="str">
        <f>PROPER(TRIM(AB407))</f>
        <v>Completed</v>
      </c>
      <c r="AS407" t="str">
        <f t="shared" si="8"/>
        <v/>
      </c>
    </row>
    <row r="408" spans="1:45">
      <c r="A408" t="s">
        <v>1318</v>
      </c>
      <c r="B408" s="7">
        <v>45713</v>
      </c>
      <c r="C408" s="4">
        <v>45713</v>
      </c>
      <c r="D408">
        <f>C408-B408</f>
        <v>0</v>
      </c>
      <c r="E408" t="str">
        <f>TEXT(B408,"mmmm")</f>
        <v>February</v>
      </c>
      <c r="F408">
        <f>YEAR(B408)</f>
        <v>2025</v>
      </c>
      <c r="G408" t="s">
        <v>1319</v>
      </c>
      <c r="H408" t="s">
        <v>264</v>
      </c>
      <c r="I408" t="s">
        <v>37</v>
      </c>
      <c r="J408" t="s">
        <v>63</v>
      </c>
      <c r="K408" t="s">
        <v>190</v>
      </c>
      <c r="L408" t="s">
        <v>191</v>
      </c>
      <c r="M408" t="s">
        <v>41</v>
      </c>
      <c r="N408" t="s">
        <v>57</v>
      </c>
      <c r="O408" t="s">
        <v>1320</v>
      </c>
      <c r="P408" t="s">
        <v>59</v>
      </c>
      <c r="Q408">
        <v>2</v>
      </c>
      <c r="R408">
        <v>3924.2</v>
      </c>
      <c r="S408">
        <v>0.25</v>
      </c>
      <c r="T408" s="12">
        <f>S408</f>
        <v>0.25</v>
      </c>
      <c r="U408">
        <v>5886.3</v>
      </c>
      <c r="V408">
        <f>Q408*R408*(1-S408)</f>
        <v>5886.2999999999993</v>
      </c>
      <c r="W408">
        <v>3621.76</v>
      </c>
      <c r="X408">
        <v>2264.54</v>
      </c>
      <c r="Y408">
        <f>V408-W408</f>
        <v>2264.5399999999991</v>
      </c>
      <c r="Z408" s="12">
        <f>Y408/V408</f>
        <v>0.38471365713606159</v>
      </c>
      <c r="AA408" t="s">
        <v>111</v>
      </c>
      <c r="AB408" t="s">
        <v>103</v>
      </c>
      <c r="AC408" s="14" t="s">
        <v>2794</v>
      </c>
      <c r="AD408" t="s">
        <v>2782</v>
      </c>
      <c r="AE408" t="str">
        <f>PROPER(TRIM(AB408))</f>
        <v>Returned</v>
      </c>
      <c r="AS408" t="str">
        <f t="shared" si="8"/>
        <v/>
      </c>
    </row>
    <row r="409" spans="1:45">
      <c r="A409" t="s">
        <v>1321</v>
      </c>
      <c r="B409" s="7">
        <v>45424</v>
      </c>
      <c r="C409" s="4">
        <v>45425</v>
      </c>
      <c r="D409">
        <f>C409-B409</f>
        <v>1</v>
      </c>
      <c r="E409" t="str">
        <f>TEXT(B409,"mmmm")</f>
        <v>May</v>
      </c>
      <c r="F409">
        <f>YEAR(B409)</f>
        <v>2024</v>
      </c>
      <c r="G409" t="s">
        <v>1322</v>
      </c>
      <c r="H409" t="s">
        <v>118</v>
      </c>
      <c r="I409" t="s">
        <v>90</v>
      </c>
      <c r="J409" t="s">
        <v>63</v>
      </c>
      <c r="K409" t="s">
        <v>190</v>
      </c>
      <c r="L409" t="s">
        <v>191</v>
      </c>
      <c r="M409" t="s">
        <v>28</v>
      </c>
      <c r="N409" t="s">
        <v>91</v>
      </c>
      <c r="O409" t="s">
        <v>1323</v>
      </c>
      <c r="P409" t="s">
        <v>31</v>
      </c>
      <c r="Q409">
        <v>3</v>
      </c>
      <c r="R409">
        <v>2644.55</v>
      </c>
      <c r="S409">
        <v>0</v>
      </c>
      <c r="T409" s="12">
        <f>S409</f>
        <v>0</v>
      </c>
      <c r="U409">
        <v>7933.65</v>
      </c>
      <c r="V409">
        <f>Q409*R409*(1-S409)</f>
        <v>7933.6500000000005</v>
      </c>
      <c r="W409">
        <v>5698.42</v>
      </c>
      <c r="X409">
        <v>2235.23</v>
      </c>
      <c r="Y409">
        <f>V409-W409</f>
        <v>2235.2300000000005</v>
      </c>
      <c r="Z409" s="12">
        <f>Y409/V409</f>
        <v>0.2817404347305465</v>
      </c>
      <c r="AA409" t="s">
        <v>32</v>
      </c>
      <c r="AB409" t="s">
        <v>33</v>
      </c>
      <c r="AC409" s="14" t="s">
        <v>2794</v>
      </c>
      <c r="AD409" t="s">
        <v>2782</v>
      </c>
      <c r="AE409" t="str">
        <f>PROPER(TRIM(AB409))</f>
        <v>Completed</v>
      </c>
      <c r="AS409" t="str">
        <f t="shared" si="8"/>
        <v/>
      </c>
    </row>
    <row r="410" spans="1:45">
      <c r="A410" t="s">
        <v>1324</v>
      </c>
      <c r="B410" s="7">
        <v>45665</v>
      </c>
      <c r="C410" s="4">
        <v>45724</v>
      </c>
      <c r="D410">
        <f>C410-B410</f>
        <v>59</v>
      </c>
      <c r="E410" t="str">
        <f>TEXT(B410,"mmmm")</f>
        <v>January</v>
      </c>
      <c r="F410">
        <f>YEAR(B410)</f>
        <v>2025</v>
      </c>
      <c r="G410" t="s">
        <v>1325</v>
      </c>
      <c r="H410" t="s">
        <v>132</v>
      </c>
      <c r="I410" t="s">
        <v>24</v>
      </c>
      <c r="J410" t="s">
        <v>63</v>
      </c>
      <c r="K410" t="s">
        <v>64</v>
      </c>
      <c r="L410" t="s">
        <v>65</v>
      </c>
      <c r="M410" t="s">
        <v>41</v>
      </c>
      <c r="N410" t="s">
        <v>66</v>
      </c>
      <c r="O410" t="s">
        <v>1326</v>
      </c>
      <c r="P410" t="s">
        <v>50</v>
      </c>
      <c r="Q410">
        <v>4</v>
      </c>
      <c r="R410">
        <v>1773.46</v>
      </c>
      <c r="S410">
        <v>0</v>
      </c>
      <c r="T410" s="12">
        <f>S410</f>
        <v>0</v>
      </c>
      <c r="U410">
        <v>7093.84</v>
      </c>
      <c r="V410">
        <f>Q410*R410*(1-S410)</f>
        <v>7093.84</v>
      </c>
      <c r="W410">
        <v>4587.49</v>
      </c>
      <c r="X410">
        <v>2506.35</v>
      </c>
      <c r="Y410">
        <f>V410-W410</f>
        <v>2506.3500000000004</v>
      </c>
      <c r="Z410" s="12">
        <f>Y410/V410</f>
        <v>0.35331357910525191</v>
      </c>
      <c r="AA410" t="s">
        <v>155</v>
      </c>
      <c r="AB410" t="s">
        <v>103</v>
      </c>
      <c r="AC410" s="14" t="s">
        <v>2794</v>
      </c>
      <c r="AD410" t="s">
        <v>2782</v>
      </c>
      <c r="AE410" t="str">
        <f>PROPER(TRIM(AB410))</f>
        <v>Returned</v>
      </c>
      <c r="AS410" t="str">
        <f t="shared" si="8"/>
        <v/>
      </c>
    </row>
    <row r="411" spans="1:45">
      <c r="A411" t="s">
        <v>1327</v>
      </c>
      <c r="B411" s="7">
        <v>45701</v>
      </c>
      <c r="C411" s="4">
        <v>45703</v>
      </c>
      <c r="D411">
        <f>C411-B411</f>
        <v>2</v>
      </c>
      <c r="E411" t="str">
        <f>TEXT(B411,"mmmm")</f>
        <v>February</v>
      </c>
      <c r="F411">
        <f>YEAR(B411)</f>
        <v>2025</v>
      </c>
      <c r="G411" t="s">
        <v>1328</v>
      </c>
      <c r="H411" t="s">
        <v>23</v>
      </c>
      <c r="I411" t="s">
        <v>24</v>
      </c>
      <c r="J411" t="s">
        <v>38</v>
      </c>
      <c r="K411" t="s">
        <v>166</v>
      </c>
      <c r="L411" t="s">
        <v>167</v>
      </c>
      <c r="M411" t="s">
        <v>74</v>
      </c>
      <c r="N411" t="s">
        <v>75</v>
      </c>
      <c r="O411" t="s">
        <v>1329</v>
      </c>
      <c r="P411" t="s">
        <v>44</v>
      </c>
      <c r="Q411">
        <v>1</v>
      </c>
      <c r="R411">
        <v>3025.46</v>
      </c>
      <c r="S411">
        <v>0.25</v>
      </c>
      <c r="T411" s="12">
        <f>S411</f>
        <v>0.25</v>
      </c>
      <c r="U411">
        <v>2269.1</v>
      </c>
      <c r="V411">
        <f>Q411*R411*(1-S411)</f>
        <v>2269.0950000000003</v>
      </c>
      <c r="W411">
        <v>1593.59</v>
      </c>
      <c r="X411">
        <v>675.51</v>
      </c>
      <c r="Y411">
        <f>V411-W411</f>
        <v>675.50500000000034</v>
      </c>
      <c r="Z411" s="12">
        <f>Y411/V411</f>
        <v>0.29769798091309541</v>
      </c>
      <c r="AA411" t="s">
        <v>102</v>
      </c>
      <c r="AB411" t="s">
        <v>103</v>
      </c>
      <c r="AC411" s="14" t="s">
        <v>2794</v>
      </c>
      <c r="AD411" t="s">
        <v>2782</v>
      </c>
      <c r="AE411" t="str">
        <f>PROPER(TRIM(AB411))</f>
        <v>Returned</v>
      </c>
      <c r="AS411" t="str">
        <f t="shared" si="8"/>
        <v/>
      </c>
    </row>
    <row r="412" spans="1:45">
      <c r="A412" t="s">
        <v>1330</v>
      </c>
      <c r="B412" s="7">
        <v>45394</v>
      </c>
      <c r="C412" s="4">
        <v>45402</v>
      </c>
      <c r="D412">
        <f>C412-B412</f>
        <v>8</v>
      </c>
      <c r="E412" t="str">
        <f>TEXT(B412,"mmmm")</f>
        <v>April</v>
      </c>
      <c r="F412">
        <f>YEAR(B412)</f>
        <v>2024</v>
      </c>
      <c r="G412" t="s">
        <v>1331</v>
      </c>
      <c r="H412" t="s">
        <v>162</v>
      </c>
      <c r="I412" t="s">
        <v>24</v>
      </c>
      <c r="J412" t="s">
        <v>63</v>
      </c>
      <c r="K412" t="s">
        <v>190</v>
      </c>
      <c r="L412" t="s">
        <v>191</v>
      </c>
      <c r="M412" t="s">
        <v>41</v>
      </c>
      <c r="N412" t="s">
        <v>42</v>
      </c>
      <c r="O412" t="s">
        <v>1332</v>
      </c>
      <c r="P412" t="s">
        <v>50</v>
      </c>
      <c r="Q412">
        <v>9</v>
      </c>
      <c r="R412">
        <v>1302.6099999999999</v>
      </c>
      <c r="S412">
        <v>0.2</v>
      </c>
      <c r="T412" s="12">
        <f>S412</f>
        <v>0.2</v>
      </c>
      <c r="U412">
        <v>9378.7900000000009</v>
      </c>
      <c r="V412">
        <f>Q412*R412*(1-S412)</f>
        <v>9378.7919999999995</v>
      </c>
      <c r="W412">
        <v>6774.48</v>
      </c>
      <c r="X412">
        <v>2604.31</v>
      </c>
      <c r="Y412">
        <f>V412-W412</f>
        <v>2604.3119999999999</v>
      </c>
      <c r="Z412" s="12">
        <f>Y412/V412</f>
        <v>0.27768096360384154</v>
      </c>
      <c r="AA412" t="s">
        <v>32</v>
      </c>
      <c r="AB412" t="s">
        <v>33</v>
      </c>
      <c r="AC412" s="14" t="s">
        <v>2794</v>
      </c>
      <c r="AD412" t="s">
        <v>2782</v>
      </c>
      <c r="AE412" t="str">
        <f>PROPER(TRIM(AB412))</f>
        <v>Completed</v>
      </c>
      <c r="AS412" t="str">
        <f t="shared" si="8"/>
        <v/>
      </c>
    </row>
    <row r="413" spans="1:45">
      <c r="A413" t="s">
        <v>1333</v>
      </c>
      <c r="B413" s="7">
        <v>45892</v>
      </c>
      <c r="C413" s="4">
        <v>45897</v>
      </c>
      <c r="D413">
        <f>C413-B413</f>
        <v>5</v>
      </c>
      <c r="E413" t="str">
        <f>TEXT(B413,"mmmm")</f>
        <v>August</v>
      </c>
      <c r="F413">
        <f>YEAR(B413)</f>
        <v>2025</v>
      </c>
      <c r="G413" t="s">
        <v>1334</v>
      </c>
      <c r="H413" t="s">
        <v>53</v>
      </c>
      <c r="I413" t="s">
        <v>95</v>
      </c>
      <c r="J413" t="s">
        <v>63</v>
      </c>
      <c r="K413" t="s">
        <v>26</v>
      </c>
      <c r="L413" t="s">
        <v>109</v>
      </c>
      <c r="M413" t="s">
        <v>41</v>
      </c>
      <c r="N413" t="s">
        <v>42</v>
      </c>
      <c r="O413" t="s">
        <v>1335</v>
      </c>
      <c r="P413" t="s">
        <v>50</v>
      </c>
      <c r="Q413">
        <v>1</v>
      </c>
      <c r="R413">
        <v>4167.8100000000004</v>
      </c>
      <c r="S413">
        <v>0.2</v>
      </c>
      <c r="T413" s="12">
        <f>S413</f>
        <v>0.2</v>
      </c>
      <c r="U413">
        <v>3334.25</v>
      </c>
      <c r="V413">
        <f>Q413*R413*(1-S413)</f>
        <v>3334.2480000000005</v>
      </c>
      <c r="W413">
        <v>2768.77</v>
      </c>
      <c r="X413">
        <v>565.48</v>
      </c>
      <c r="Y413">
        <f>V413-W413</f>
        <v>565.47800000000052</v>
      </c>
      <c r="Z413" s="12">
        <f>Y413/V413</f>
        <v>0.16959686262089696</v>
      </c>
      <c r="AA413" t="s">
        <v>155</v>
      </c>
      <c r="AB413" t="s">
        <v>103</v>
      </c>
      <c r="AC413" s="14" t="s">
        <v>2794</v>
      </c>
      <c r="AD413" t="s">
        <v>2782</v>
      </c>
      <c r="AE413" t="str">
        <f>PROPER(TRIM(AB413))</f>
        <v>Returned</v>
      </c>
      <c r="AS413" t="str">
        <f t="shared" si="8"/>
        <v/>
      </c>
    </row>
    <row r="414" spans="1:45">
      <c r="A414" t="s">
        <v>1336</v>
      </c>
      <c r="B414" s="7">
        <v>45313</v>
      </c>
      <c r="C414" s="4">
        <v>45321</v>
      </c>
      <c r="D414">
        <f>C414-B414</f>
        <v>8</v>
      </c>
      <c r="E414" t="str">
        <f>TEXT(B414,"mmmm")</f>
        <v>January</v>
      </c>
      <c r="F414">
        <f>YEAR(B414)</f>
        <v>2024</v>
      </c>
      <c r="G414" t="s">
        <v>1337</v>
      </c>
      <c r="H414" t="s">
        <v>47</v>
      </c>
      <c r="I414" t="s">
        <v>90</v>
      </c>
      <c r="J414" t="s">
        <v>54</v>
      </c>
      <c r="K414" t="s">
        <v>175</v>
      </c>
      <c r="L414" t="s">
        <v>176</v>
      </c>
      <c r="M414" t="s">
        <v>41</v>
      </c>
      <c r="N414" t="s">
        <v>66</v>
      </c>
      <c r="O414" t="s">
        <v>1338</v>
      </c>
      <c r="P414" t="s">
        <v>44</v>
      </c>
      <c r="Q414">
        <v>1</v>
      </c>
      <c r="R414">
        <v>2111.39</v>
      </c>
      <c r="S414">
        <v>0.25</v>
      </c>
      <c r="T414" s="12">
        <f>S414</f>
        <v>0.25</v>
      </c>
      <c r="U414">
        <v>1583.54</v>
      </c>
      <c r="V414">
        <f>Q414*R414*(1-S414)</f>
        <v>1583.5425</v>
      </c>
      <c r="W414">
        <v>1014.19</v>
      </c>
      <c r="X414">
        <v>569.35</v>
      </c>
      <c r="Y414">
        <f>V414-W414</f>
        <v>569.35249999999996</v>
      </c>
      <c r="Z414" s="12">
        <f>Y414/V414</f>
        <v>0.35954355503562424</v>
      </c>
      <c r="AA414" t="s">
        <v>32</v>
      </c>
      <c r="AB414" t="s">
        <v>33</v>
      </c>
      <c r="AC414" s="14" t="s">
        <v>2794</v>
      </c>
      <c r="AD414" t="s">
        <v>2782</v>
      </c>
      <c r="AE414" t="str">
        <f>PROPER(TRIM(AB414))</f>
        <v>Completed</v>
      </c>
      <c r="AS414" t="str">
        <f t="shared" si="8"/>
        <v/>
      </c>
    </row>
    <row r="415" spans="1:45">
      <c r="A415" t="s">
        <v>1339</v>
      </c>
      <c r="B415" s="7">
        <v>45882</v>
      </c>
      <c r="C415" s="4">
        <v>45886</v>
      </c>
      <c r="D415">
        <f>C415-B415</f>
        <v>4</v>
      </c>
      <c r="E415" t="str">
        <f>TEXT(B415,"mmmm")</f>
        <v>August</v>
      </c>
      <c r="F415">
        <f>YEAR(B415)</f>
        <v>2025</v>
      </c>
      <c r="G415" t="s">
        <v>1340</v>
      </c>
      <c r="H415" t="s">
        <v>79</v>
      </c>
      <c r="I415" t="s">
        <v>95</v>
      </c>
      <c r="J415" t="s">
        <v>63</v>
      </c>
      <c r="K415" t="s">
        <v>72</v>
      </c>
      <c r="L415" t="s">
        <v>73</v>
      </c>
      <c r="M415" t="s">
        <v>74</v>
      </c>
      <c r="N415" t="s">
        <v>75</v>
      </c>
      <c r="O415" t="s">
        <v>1341</v>
      </c>
      <c r="P415" t="s">
        <v>31</v>
      </c>
      <c r="Q415">
        <v>8</v>
      </c>
      <c r="R415">
        <v>1918.23</v>
      </c>
      <c r="S415">
        <v>0</v>
      </c>
      <c r="T415" s="12">
        <f>S415</f>
        <v>0</v>
      </c>
      <c r="U415">
        <v>15345.84</v>
      </c>
      <c r="V415">
        <f>Q415*R415*(1-S415)</f>
        <v>15345.84</v>
      </c>
      <c r="W415">
        <v>10735.33</v>
      </c>
      <c r="X415">
        <v>4610.51</v>
      </c>
      <c r="Y415">
        <f>V415-W415</f>
        <v>4610.51</v>
      </c>
      <c r="Z415" s="12">
        <f>Y415/V415</f>
        <v>0.30044037993358463</v>
      </c>
      <c r="AA415" t="s">
        <v>111</v>
      </c>
      <c r="AB415" t="s">
        <v>68</v>
      </c>
      <c r="AC415" s="14" t="s">
        <v>2794</v>
      </c>
      <c r="AD415" t="s">
        <v>2782</v>
      </c>
      <c r="AE415" t="str">
        <f>PROPER(TRIM(AB415))</f>
        <v>Cancelled</v>
      </c>
      <c r="AS415" t="str">
        <f t="shared" si="8"/>
        <v/>
      </c>
    </row>
    <row r="416" spans="1:45">
      <c r="A416" t="s">
        <v>1342</v>
      </c>
      <c r="B416" s="7">
        <v>45533</v>
      </c>
      <c r="C416" s="4">
        <v>45534</v>
      </c>
      <c r="D416">
        <f>C416-B416</f>
        <v>1</v>
      </c>
      <c r="E416" t="str">
        <f>TEXT(B416,"mmmm")</f>
        <v>August</v>
      </c>
      <c r="F416">
        <f>YEAR(B416)</f>
        <v>2024</v>
      </c>
      <c r="G416" t="s">
        <v>1343</v>
      </c>
      <c r="H416" t="s">
        <v>53</v>
      </c>
      <c r="I416" t="s">
        <v>95</v>
      </c>
      <c r="J416" t="s">
        <v>38</v>
      </c>
      <c r="K416" t="s">
        <v>166</v>
      </c>
      <c r="L416" t="s">
        <v>167</v>
      </c>
      <c r="M416" t="s">
        <v>28</v>
      </c>
      <c r="N416" t="s">
        <v>124</v>
      </c>
      <c r="O416" t="s">
        <v>1344</v>
      </c>
      <c r="P416" t="s">
        <v>50</v>
      </c>
      <c r="Q416">
        <v>4</v>
      </c>
      <c r="R416">
        <v>2484.08</v>
      </c>
      <c r="S416">
        <v>0.05</v>
      </c>
      <c r="T416" s="12">
        <f>S416</f>
        <v>0.05</v>
      </c>
      <c r="U416">
        <v>9439.5</v>
      </c>
      <c r="V416">
        <f>Q416*R416*(1-S416)</f>
        <v>9439.503999999999</v>
      </c>
      <c r="W416">
        <v>5519.39</v>
      </c>
      <c r="X416">
        <v>3920.11</v>
      </c>
      <c r="Y416">
        <f>V416-W416</f>
        <v>3920.1139999999987</v>
      </c>
      <c r="Z416" s="12">
        <f>Y416/V416</f>
        <v>0.41528813378330037</v>
      </c>
      <c r="AA416" t="s">
        <v>32</v>
      </c>
      <c r="AB416" t="s">
        <v>33</v>
      </c>
      <c r="AC416" s="14" t="s">
        <v>2794</v>
      </c>
      <c r="AD416" t="s">
        <v>2782</v>
      </c>
      <c r="AE416" t="str">
        <f>PROPER(TRIM(AB416))</f>
        <v>Completed</v>
      </c>
      <c r="AS416" t="str">
        <f t="shared" si="8"/>
        <v/>
      </c>
    </row>
    <row r="417" spans="1:45">
      <c r="A417" t="s">
        <v>1345</v>
      </c>
      <c r="B417" s="7">
        <v>45316</v>
      </c>
      <c r="C417" s="4">
        <v>45318</v>
      </c>
      <c r="D417">
        <f>C417-B417</f>
        <v>2</v>
      </c>
      <c r="E417" t="str">
        <f>TEXT(B417,"mmmm")</f>
        <v>January</v>
      </c>
      <c r="F417">
        <f>YEAR(B417)</f>
        <v>2024</v>
      </c>
      <c r="G417" t="s">
        <v>1346</v>
      </c>
      <c r="H417" t="s">
        <v>128</v>
      </c>
      <c r="I417" t="s">
        <v>90</v>
      </c>
      <c r="J417" t="s">
        <v>54</v>
      </c>
      <c r="K417" t="s">
        <v>175</v>
      </c>
      <c r="L417" t="s">
        <v>176</v>
      </c>
      <c r="M417" t="s">
        <v>28</v>
      </c>
      <c r="N417" t="s">
        <v>124</v>
      </c>
      <c r="O417" t="s">
        <v>1347</v>
      </c>
      <c r="P417" t="s">
        <v>44</v>
      </c>
      <c r="Q417">
        <v>7</v>
      </c>
      <c r="R417">
        <v>1727.26</v>
      </c>
      <c r="S417">
        <v>0.15</v>
      </c>
      <c r="T417" s="12">
        <f>S417</f>
        <v>0.15</v>
      </c>
      <c r="U417">
        <v>10277.200000000001</v>
      </c>
      <c r="V417">
        <f>Q417*R417*(1-S417)</f>
        <v>10277.197</v>
      </c>
      <c r="W417">
        <v>7906.5</v>
      </c>
      <c r="X417">
        <v>2370.6999999999998</v>
      </c>
      <c r="Y417">
        <f>V417-W417</f>
        <v>2370.6970000000001</v>
      </c>
      <c r="Z417" s="12">
        <f>Y417/V417</f>
        <v>0.23067544584384245</v>
      </c>
      <c r="AA417" t="s">
        <v>32</v>
      </c>
      <c r="AB417" t="s">
        <v>103</v>
      </c>
      <c r="AC417" s="14" t="s">
        <v>2794</v>
      </c>
      <c r="AD417" t="s">
        <v>2782</v>
      </c>
      <c r="AE417" t="str">
        <f>PROPER(TRIM(AB417))</f>
        <v>Returned</v>
      </c>
      <c r="AS417" t="str">
        <f t="shared" si="8"/>
        <v/>
      </c>
    </row>
    <row r="418" spans="1:45">
      <c r="A418" t="s">
        <v>1348</v>
      </c>
      <c r="B418" s="7">
        <v>45665</v>
      </c>
      <c r="C418" s="4">
        <v>45673</v>
      </c>
      <c r="D418">
        <f>C418-B418</f>
        <v>8</v>
      </c>
      <c r="E418" t="str">
        <f>TEXT(B418,"mmmm")</f>
        <v>January</v>
      </c>
      <c r="F418">
        <f>YEAR(B418)</f>
        <v>2025</v>
      </c>
      <c r="G418" t="s">
        <v>1349</v>
      </c>
      <c r="H418" t="s">
        <v>79</v>
      </c>
      <c r="I418" t="s">
        <v>24</v>
      </c>
      <c r="J418" t="s">
        <v>54</v>
      </c>
      <c r="K418" t="s">
        <v>55</v>
      </c>
      <c r="L418" t="s">
        <v>56</v>
      </c>
      <c r="M418" t="s">
        <v>41</v>
      </c>
      <c r="N418" t="s">
        <v>57</v>
      </c>
      <c r="O418" t="s">
        <v>1350</v>
      </c>
      <c r="P418" t="s">
        <v>50</v>
      </c>
      <c r="Q418">
        <v>8</v>
      </c>
      <c r="R418">
        <v>638.95000000000005</v>
      </c>
      <c r="S418">
        <v>0.25</v>
      </c>
      <c r="T418" s="12">
        <f>S418</f>
        <v>0.25</v>
      </c>
      <c r="U418">
        <v>3833.7</v>
      </c>
      <c r="V418">
        <f>Q418*R418*(1-S418)</f>
        <v>3833.7000000000003</v>
      </c>
      <c r="W418">
        <v>2886.35</v>
      </c>
      <c r="X418">
        <v>947.35</v>
      </c>
      <c r="Y418">
        <f>V418-W418</f>
        <v>947.35000000000036</v>
      </c>
      <c r="Z418" s="12">
        <f>Y418/V418</f>
        <v>0.24711114589039318</v>
      </c>
      <c r="AA418" t="s">
        <v>32</v>
      </c>
      <c r="AB418" t="s">
        <v>33</v>
      </c>
      <c r="AC418" s="14" t="s">
        <v>2794</v>
      </c>
      <c r="AD418" t="s">
        <v>2782</v>
      </c>
      <c r="AE418" t="str">
        <f>PROPER(TRIM(AB418))</f>
        <v>Completed</v>
      </c>
      <c r="AS418" t="str">
        <f t="shared" si="8"/>
        <v/>
      </c>
    </row>
    <row r="419" spans="1:45">
      <c r="A419" t="s">
        <v>1351</v>
      </c>
      <c r="B419" s="7">
        <v>45686</v>
      </c>
      <c r="C419" s="4">
        <v>45779</v>
      </c>
      <c r="D419">
        <f>C419-B419</f>
        <v>93</v>
      </c>
      <c r="E419" t="str">
        <f>TEXT(B419,"mmmm")</f>
        <v>January</v>
      </c>
      <c r="F419">
        <f>YEAR(B419)</f>
        <v>2025</v>
      </c>
      <c r="G419" t="s">
        <v>1352</v>
      </c>
      <c r="H419" t="s">
        <v>36</v>
      </c>
      <c r="I419" t="s">
        <v>24</v>
      </c>
      <c r="J419" t="s">
        <v>63</v>
      </c>
      <c r="K419" t="s">
        <v>180</v>
      </c>
      <c r="L419" t="s">
        <v>181</v>
      </c>
      <c r="M419" t="s">
        <v>28</v>
      </c>
      <c r="N419" t="s">
        <v>48</v>
      </c>
      <c r="O419" t="s">
        <v>1353</v>
      </c>
      <c r="P419" t="s">
        <v>50</v>
      </c>
      <c r="Q419">
        <v>6</v>
      </c>
      <c r="R419">
        <v>3863</v>
      </c>
      <c r="S419">
        <v>0.2</v>
      </c>
      <c r="T419" s="12">
        <f>S419</f>
        <v>0.2</v>
      </c>
      <c r="U419">
        <v>18542.400000000001</v>
      </c>
      <c r="V419">
        <f>Q419*R419*(1-S419)</f>
        <v>18542.400000000001</v>
      </c>
      <c r="W419">
        <v>11193.75</v>
      </c>
      <c r="X419">
        <v>7348.65</v>
      </c>
      <c r="Y419">
        <f>V419-W419</f>
        <v>7348.6500000000015</v>
      </c>
      <c r="Z419" s="12">
        <f>Y419/V419</f>
        <v>0.39631601087237905</v>
      </c>
      <c r="AA419" t="s">
        <v>32</v>
      </c>
      <c r="AB419" t="s">
        <v>33</v>
      </c>
      <c r="AC419" s="14" t="s">
        <v>2794</v>
      </c>
      <c r="AD419" t="s">
        <v>2782</v>
      </c>
      <c r="AE419" t="str">
        <f>PROPER(TRIM(AB419))</f>
        <v>Completed</v>
      </c>
      <c r="AS419" t="str">
        <f t="shared" si="8"/>
        <v/>
      </c>
    </row>
    <row r="420" spans="1:45">
      <c r="A420" t="s">
        <v>1354</v>
      </c>
      <c r="B420" s="7">
        <v>45546</v>
      </c>
      <c r="C420" s="4">
        <v>45613</v>
      </c>
      <c r="D420">
        <f>C420-B420</f>
        <v>67</v>
      </c>
      <c r="E420" t="str">
        <f>TEXT(B420,"mmmm")</f>
        <v>September</v>
      </c>
      <c r="F420">
        <f>YEAR(B420)</f>
        <v>2024</v>
      </c>
      <c r="G420" t="s">
        <v>1355</v>
      </c>
      <c r="H420" t="s">
        <v>132</v>
      </c>
      <c r="I420" t="s">
        <v>90</v>
      </c>
      <c r="J420" t="s">
        <v>38</v>
      </c>
      <c r="K420" t="s">
        <v>39</v>
      </c>
      <c r="L420" t="s">
        <v>40</v>
      </c>
      <c r="M420" t="s">
        <v>74</v>
      </c>
      <c r="N420" t="s">
        <v>80</v>
      </c>
      <c r="O420" t="s">
        <v>1356</v>
      </c>
      <c r="P420" t="s">
        <v>59</v>
      </c>
      <c r="Q420">
        <v>6</v>
      </c>
      <c r="R420">
        <v>3660.4</v>
      </c>
      <c r="S420">
        <v>0</v>
      </c>
      <c r="T420" s="12">
        <f>S420</f>
        <v>0</v>
      </c>
      <c r="U420">
        <v>21962.400000000001</v>
      </c>
      <c r="V420">
        <f>Q420*R420*(1-S420)</f>
        <v>21962.400000000001</v>
      </c>
      <c r="W420">
        <v>15331.99</v>
      </c>
      <c r="X420">
        <v>6630.41</v>
      </c>
      <c r="Y420">
        <f>V420-W420</f>
        <v>6630.4100000000017</v>
      </c>
      <c r="Z420" s="12">
        <f>Y420/V420</f>
        <v>0.3018982442720286</v>
      </c>
      <c r="AA420" t="s">
        <v>155</v>
      </c>
      <c r="AB420" t="s">
        <v>68</v>
      </c>
      <c r="AC420" s="14" t="s">
        <v>2794</v>
      </c>
      <c r="AD420" t="s">
        <v>2782</v>
      </c>
      <c r="AE420" t="str">
        <f>PROPER(TRIM(AB420))</f>
        <v>Cancelled</v>
      </c>
      <c r="AS420" t="str">
        <f t="shared" si="8"/>
        <v/>
      </c>
    </row>
    <row r="421" spans="1:45">
      <c r="A421" t="s">
        <v>1357</v>
      </c>
      <c r="B421" s="7">
        <v>45926</v>
      </c>
      <c r="C421" s="4">
        <v>45930</v>
      </c>
      <c r="D421">
        <f>C421-B421</f>
        <v>4</v>
      </c>
      <c r="E421" t="str">
        <f>TEXT(B421,"mmmm")</f>
        <v>September</v>
      </c>
      <c r="F421">
        <f>YEAR(B421)</f>
        <v>2025</v>
      </c>
      <c r="G421" t="s">
        <v>1358</v>
      </c>
      <c r="H421" t="s">
        <v>132</v>
      </c>
      <c r="I421" t="s">
        <v>95</v>
      </c>
      <c r="J421" t="s">
        <v>25</v>
      </c>
      <c r="K421" t="s">
        <v>236</v>
      </c>
      <c r="L421" t="s">
        <v>237</v>
      </c>
      <c r="M421" t="s">
        <v>74</v>
      </c>
      <c r="N421" t="s">
        <v>171</v>
      </c>
      <c r="O421" t="s">
        <v>1359</v>
      </c>
      <c r="P421" t="s">
        <v>44</v>
      </c>
      <c r="Q421">
        <v>2</v>
      </c>
      <c r="R421">
        <v>688.83</v>
      </c>
      <c r="S421">
        <v>0.05</v>
      </c>
      <c r="T421" s="12">
        <f>S421</f>
        <v>0.05</v>
      </c>
      <c r="U421">
        <v>1308.78</v>
      </c>
      <c r="V421">
        <f>Q421*R421*(1-S421)</f>
        <v>1308.777</v>
      </c>
      <c r="W421">
        <v>843</v>
      </c>
      <c r="X421">
        <v>465.78</v>
      </c>
      <c r="Y421">
        <f>V421-W421</f>
        <v>465.77700000000004</v>
      </c>
      <c r="Z421" s="12">
        <f>Y421/V421</f>
        <v>0.35588721378813964</v>
      </c>
      <c r="AA421" t="s">
        <v>32</v>
      </c>
      <c r="AB421" t="s">
        <v>33</v>
      </c>
      <c r="AC421" s="14" t="s">
        <v>2794</v>
      </c>
      <c r="AD421" t="s">
        <v>2782</v>
      </c>
      <c r="AE421" t="str">
        <f>PROPER(TRIM(AB421))</f>
        <v>Completed</v>
      </c>
      <c r="AS421" t="str">
        <f t="shared" si="8"/>
        <v/>
      </c>
    </row>
    <row r="422" spans="1:45">
      <c r="A422" t="s">
        <v>1360</v>
      </c>
      <c r="B422" s="7">
        <v>45734</v>
      </c>
      <c r="C422" s="4">
        <v>45735</v>
      </c>
      <c r="D422">
        <f>C422-B422</f>
        <v>1</v>
      </c>
      <c r="E422" t="str">
        <f>TEXT(B422,"mmmm")</f>
        <v>March</v>
      </c>
      <c r="F422">
        <f>YEAR(B422)</f>
        <v>2025</v>
      </c>
      <c r="G422" t="s">
        <v>1361</v>
      </c>
      <c r="H422" t="s">
        <v>47</v>
      </c>
      <c r="I422" t="s">
        <v>90</v>
      </c>
      <c r="J422" t="s">
        <v>54</v>
      </c>
      <c r="K422" t="s">
        <v>247</v>
      </c>
      <c r="L422" t="s">
        <v>248</v>
      </c>
      <c r="M422" t="s">
        <v>74</v>
      </c>
      <c r="N422" t="s">
        <v>274</v>
      </c>
      <c r="O422" t="s">
        <v>1362</v>
      </c>
      <c r="P422" t="s">
        <v>59</v>
      </c>
      <c r="Q422">
        <v>2</v>
      </c>
      <c r="R422">
        <v>1209.99</v>
      </c>
      <c r="S422">
        <v>0.25</v>
      </c>
      <c r="T422" s="12">
        <f>S422</f>
        <v>0.25</v>
      </c>
      <c r="U422">
        <v>1814.99</v>
      </c>
      <c r="V422">
        <f>Q422*R422*(1-S422)</f>
        <v>1814.9850000000001</v>
      </c>
      <c r="W422">
        <v>1120.06</v>
      </c>
      <c r="X422">
        <v>694.93</v>
      </c>
      <c r="Y422">
        <f>V422-W422</f>
        <v>694.92500000000018</v>
      </c>
      <c r="Z422" s="12">
        <f>Y422/V422</f>
        <v>0.38288195219244242</v>
      </c>
      <c r="AA422" t="s">
        <v>111</v>
      </c>
      <c r="AB422" t="s">
        <v>68</v>
      </c>
      <c r="AC422" s="14" t="s">
        <v>2794</v>
      </c>
      <c r="AD422" t="s">
        <v>2782</v>
      </c>
      <c r="AE422" t="str">
        <f>PROPER(TRIM(AB422))</f>
        <v>Cancelled</v>
      </c>
      <c r="AS422" t="str">
        <f t="shared" si="8"/>
        <v/>
      </c>
    </row>
    <row r="423" spans="1:45">
      <c r="A423" t="s">
        <v>1363</v>
      </c>
      <c r="B423" s="7">
        <v>45822</v>
      </c>
      <c r="C423" s="4">
        <v>45827</v>
      </c>
      <c r="D423">
        <f>C423-B423</f>
        <v>5</v>
      </c>
      <c r="E423" t="str">
        <f>TEXT(B423,"mmmm")</f>
        <v>June</v>
      </c>
      <c r="F423">
        <f>YEAR(B423)</f>
        <v>2025</v>
      </c>
      <c r="G423" t="s">
        <v>1364</v>
      </c>
      <c r="H423" t="s">
        <v>141</v>
      </c>
      <c r="I423" t="s">
        <v>37</v>
      </c>
      <c r="J423" t="s">
        <v>25</v>
      </c>
      <c r="K423" t="s">
        <v>350</v>
      </c>
      <c r="L423" t="s">
        <v>351</v>
      </c>
      <c r="M423" t="s">
        <v>28</v>
      </c>
      <c r="N423" t="s">
        <v>153</v>
      </c>
      <c r="O423" t="s">
        <v>1365</v>
      </c>
      <c r="P423" t="s">
        <v>44</v>
      </c>
      <c r="Q423">
        <v>3</v>
      </c>
      <c r="R423">
        <v>1037.45</v>
      </c>
      <c r="S423">
        <v>0.2</v>
      </c>
      <c r="T423" s="12">
        <f>S423</f>
        <v>0.2</v>
      </c>
      <c r="U423">
        <v>2489.88</v>
      </c>
      <c r="V423">
        <f>Q423*R423*(1-S423)</f>
        <v>2489.8800000000006</v>
      </c>
      <c r="W423">
        <v>1707.52</v>
      </c>
      <c r="X423">
        <v>782.36</v>
      </c>
      <c r="Y423">
        <f>V423-W423</f>
        <v>782.36000000000058</v>
      </c>
      <c r="Z423" s="12">
        <f>Y423/V423</f>
        <v>0.31421594615001541</v>
      </c>
      <c r="AA423" t="s">
        <v>111</v>
      </c>
      <c r="AB423" t="s">
        <v>103</v>
      </c>
      <c r="AC423" s="14" t="s">
        <v>2794</v>
      </c>
      <c r="AD423" t="s">
        <v>2782</v>
      </c>
      <c r="AE423" t="str">
        <f>PROPER(TRIM(AB423))</f>
        <v>Returned</v>
      </c>
      <c r="AS423" t="str">
        <f t="shared" si="8"/>
        <v/>
      </c>
    </row>
    <row r="424" spans="1:45">
      <c r="A424" t="s">
        <v>1366</v>
      </c>
      <c r="B424" s="7">
        <v>45725</v>
      </c>
      <c r="C424" s="4">
        <v>45906</v>
      </c>
      <c r="D424">
        <f>C424-B424</f>
        <v>181</v>
      </c>
      <c r="E424" t="str">
        <f>TEXT(B424,"mmmm")</f>
        <v>March</v>
      </c>
      <c r="F424">
        <f>YEAR(B424)</f>
        <v>2025</v>
      </c>
      <c r="G424" t="s">
        <v>1367</v>
      </c>
      <c r="H424" t="s">
        <v>264</v>
      </c>
      <c r="I424" t="s">
        <v>24</v>
      </c>
      <c r="J424" t="s">
        <v>63</v>
      </c>
      <c r="K424" t="s">
        <v>72</v>
      </c>
      <c r="L424" t="s">
        <v>73</v>
      </c>
      <c r="M424" t="s">
        <v>74</v>
      </c>
      <c r="N424" t="s">
        <v>80</v>
      </c>
      <c r="O424" t="s">
        <v>1368</v>
      </c>
      <c r="P424" t="s">
        <v>44</v>
      </c>
      <c r="Q424">
        <v>7</v>
      </c>
      <c r="R424">
        <v>688.85</v>
      </c>
      <c r="S424">
        <v>0.15</v>
      </c>
      <c r="T424" s="12">
        <f>S424</f>
        <v>0.15</v>
      </c>
      <c r="U424">
        <v>4098.66</v>
      </c>
      <c r="V424">
        <f>Q424*R424*(1-S424)</f>
        <v>4098.6574999999993</v>
      </c>
      <c r="W424">
        <v>2678.06</v>
      </c>
      <c r="X424">
        <v>1420.6</v>
      </c>
      <c r="Y424">
        <f>V424-W424</f>
        <v>1420.5974999999994</v>
      </c>
      <c r="Z424" s="12">
        <f>Y424/V424</f>
        <v>0.34660068571233377</v>
      </c>
      <c r="AA424" t="s">
        <v>32</v>
      </c>
      <c r="AB424" t="s">
        <v>33</v>
      </c>
      <c r="AC424" s="14" t="s">
        <v>2794</v>
      </c>
      <c r="AD424" t="s">
        <v>2782</v>
      </c>
      <c r="AE424" t="str">
        <f>PROPER(TRIM(AB424))</f>
        <v>Completed</v>
      </c>
      <c r="AS424" t="str">
        <f t="shared" si="8"/>
        <v/>
      </c>
    </row>
    <row r="425" spans="1:45">
      <c r="A425" t="s">
        <v>1369</v>
      </c>
      <c r="B425" s="7">
        <v>45342</v>
      </c>
      <c r="C425" s="4">
        <v>45349</v>
      </c>
      <c r="D425">
        <f>C425-B425</f>
        <v>7</v>
      </c>
      <c r="E425" t="str">
        <f>TEXT(B425,"mmmm")</f>
        <v>February</v>
      </c>
      <c r="F425">
        <f>YEAR(B425)</f>
        <v>2024</v>
      </c>
      <c r="G425" t="s">
        <v>1370</v>
      </c>
      <c r="H425" t="s">
        <v>162</v>
      </c>
      <c r="I425" t="s">
        <v>24</v>
      </c>
      <c r="J425" t="s">
        <v>54</v>
      </c>
      <c r="K425" t="s">
        <v>185</v>
      </c>
      <c r="L425" t="s">
        <v>186</v>
      </c>
      <c r="M425" t="s">
        <v>74</v>
      </c>
      <c r="N425" t="s">
        <v>75</v>
      </c>
      <c r="O425" t="s">
        <v>1371</v>
      </c>
      <c r="P425" t="s">
        <v>50</v>
      </c>
      <c r="Q425">
        <v>9</v>
      </c>
      <c r="R425">
        <v>3779.31</v>
      </c>
      <c r="S425">
        <v>0.2</v>
      </c>
      <c r="T425" s="12">
        <f>S425</f>
        <v>0.2</v>
      </c>
      <c r="U425">
        <v>27211.03</v>
      </c>
      <c r="V425">
        <f>Q425*R425*(1-S425)</f>
        <v>27211.032000000003</v>
      </c>
      <c r="W425">
        <v>17940.43</v>
      </c>
      <c r="X425">
        <v>9270.6</v>
      </c>
      <c r="Y425">
        <f>V425-W425</f>
        <v>9270.6020000000026</v>
      </c>
      <c r="Z425" s="12">
        <f>Y425/V425</f>
        <v>0.34069277490100347</v>
      </c>
      <c r="AA425" t="s">
        <v>32</v>
      </c>
      <c r="AB425" t="s">
        <v>33</v>
      </c>
      <c r="AC425" s="14" t="s">
        <v>2794</v>
      </c>
      <c r="AD425" t="s">
        <v>2782</v>
      </c>
      <c r="AE425" t="str">
        <f>PROPER(TRIM(AB425))</f>
        <v>Completed</v>
      </c>
      <c r="AS425" t="str">
        <f t="shared" si="8"/>
        <v/>
      </c>
    </row>
    <row r="426" spans="1:45">
      <c r="A426" t="s">
        <v>1372</v>
      </c>
      <c r="B426" s="7">
        <v>45469</v>
      </c>
      <c r="C426" s="4">
        <v>45472</v>
      </c>
      <c r="D426">
        <f>C426-B426</f>
        <v>3</v>
      </c>
      <c r="E426" t="str">
        <f>TEXT(B426,"mmmm")</f>
        <v>June</v>
      </c>
      <c r="F426">
        <f>YEAR(B426)</f>
        <v>2024</v>
      </c>
      <c r="G426" t="s">
        <v>1373</v>
      </c>
      <c r="H426" t="s">
        <v>79</v>
      </c>
      <c r="I426" t="s">
        <v>90</v>
      </c>
      <c r="J426" t="s">
        <v>25</v>
      </c>
      <c r="K426" t="s">
        <v>122</v>
      </c>
      <c r="L426" t="s">
        <v>123</v>
      </c>
      <c r="M426" t="s">
        <v>74</v>
      </c>
      <c r="N426" t="s">
        <v>171</v>
      </c>
      <c r="O426" t="s">
        <v>1374</v>
      </c>
      <c r="P426" t="s">
        <v>59</v>
      </c>
      <c r="Q426">
        <v>8</v>
      </c>
      <c r="R426">
        <v>804.52</v>
      </c>
      <c r="S426">
        <v>0</v>
      </c>
      <c r="T426" s="12">
        <f>S426</f>
        <v>0</v>
      </c>
      <c r="U426">
        <v>6436.16</v>
      </c>
      <c r="V426">
        <f>Q426*R426*(1-S426)</f>
        <v>6436.16</v>
      </c>
      <c r="W426">
        <v>4263.83</v>
      </c>
      <c r="X426">
        <v>2172.33</v>
      </c>
      <c r="Y426">
        <f>V426-W426</f>
        <v>2172.33</v>
      </c>
      <c r="Z426" s="12">
        <f>Y426/V426</f>
        <v>0.33751957689056827</v>
      </c>
      <c r="AA426" t="s">
        <v>32</v>
      </c>
      <c r="AB426" t="s">
        <v>33</v>
      </c>
      <c r="AC426" s="14" t="s">
        <v>2794</v>
      </c>
      <c r="AD426" t="s">
        <v>2782</v>
      </c>
      <c r="AE426" t="str">
        <f>PROPER(TRIM(AB426))</f>
        <v>Completed</v>
      </c>
      <c r="AS426" t="str">
        <f t="shared" si="8"/>
        <v/>
      </c>
    </row>
    <row r="427" spans="1:45">
      <c r="A427" t="s">
        <v>1375</v>
      </c>
      <c r="B427" s="7">
        <v>45561</v>
      </c>
      <c r="C427" s="4">
        <v>45562</v>
      </c>
      <c r="D427">
        <f>C427-B427</f>
        <v>1</v>
      </c>
      <c r="E427" t="str">
        <f>TEXT(B427,"mmmm")</f>
        <v>September</v>
      </c>
      <c r="F427">
        <f>YEAR(B427)</f>
        <v>2024</v>
      </c>
      <c r="G427" t="s">
        <v>1376</v>
      </c>
      <c r="H427" t="s">
        <v>47</v>
      </c>
      <c r="I427" t="s">
        <v>95</v>
      </c>
      <c r="J427" t="s">
        <v>25</v>
      </c>
      <c r="K427" t="s">
        <v>350</v>
      </c>
      <c r="L427" t="s">
        <v>351</v>
      </c>
      <c r="M427" t="s">
        <v>28</v>
      </c>
      <c r="N427" t="s">
        <v>91</v>
      </c>
      <c r="O427" t="s">
        <v>1377</v>
      </c>
      <c r="P427" t="s">
        <v>50</v>
      </c>
      <c r="Q427">
        <v>2</v>
      </c>
      <c r="R427">
        <v>1065.69</v>
      </c>
      <c r="S427">
        <v>0.1</v>
      </c>
      <c r="T427" s="12">
        <f>S427</f>
        <v>0.1</v>
      </c>
      <c r="U427">
        <v>1918.24</v>
      </c>
      <c r="V427">
        <f>Q427*R427*(1-S427)</f>
        <v>1918.2420000000002</v>
      </c>
      <c r="W427">
        <v>1373.52</v>
      </c>
      <c r="X427">
        <v>544.72</v>
      </c>
      <c r="Y427">
        <f>V427-W427</f>
        <v>544.72200000000021</v>
      </c>
      <c r="Z427" s="12">
        <f>Y427/V427</f>
        <v>0.2839693844676533</v>
      </c>
      <c r="AA427" t="s">
        <v>102</v>
      </c>
      <c r="AB427" t="s">
        <v>68</v>
      </c>
      <c r="AC427" s="14" t="s">
        <v>2794</v>
      </c>
      <c r="AD427" t="s">
        <v>2782</v>
      </c>
      <c r="AE427" t="str">
        <f>PROPER(TRIM(AB427))</f>
        <v>Cancelled</v>
      </c>
      <c r="AS427" t="str">
        <f t="shared" si="8"/>
        <v/>
      </c>
    </row>
    <row r="428" spans="1:45">
      <c r="A428" t="s">
        <v>1378</v>
      </c>
      <c r="B428" s="7">
        <v>45473</v>
      </c>
      <c r="C428" s="4">
        <v>45474</v>
      </c>
      <c r="D428">
        <f>C428-B428</f>
        <v>1</v>
      </c>
      <c r="E428" t="str">
        <f>TEXT(B428,"mmmm")</f>
        <v>June</v>
      </c>
      <c r="F428">
        <f>YEAR(B428)</f>
        <v>2024</v>
      </c>
      <c r="G428" t="s">
        <v>1379</v>
      </c>
      <c r="H428" t="s">
        <v>89</v>
      </c>
      <c r="I428" t="s">
        <v>24</v>
      </c>
      <c r="J428" t="s">
        <v>25</v>
      </c>
      <c r="K428" t="s">
        <v>236</v>
      </c>
      <c r="L428" t="s">
        <v>237</v>
      </c>
      <c r="M428" t="s">
        <v>74</v>
      </c>
      <c r="N428" t="s">
        <v>80</v>
      </c>
      <c r="O428" t="s">
        <v>1380</v>
      </c>
      <c r="P428" t="s">
        <v>44</v>
      </c>
      <c r="Q428">
        <v>8</v>
      </c>
      <c r="R428">
        <v>3756.66</v>
      </c>
      <c r="S428">
        <v>0.1</v>
      </c>
      <c r="T428" s="12">
        <f>S428</f>
        <v>0.1</v>
      </c>
      <c r="U428">
        <v>27047.95</v>
      </c>
      <c r="V428">
        <f>Q428*R428*(1-S428)</f>
        <v>27047.952000000001</v>
      </c>
      <c r="W428">
        <v>18431.330000000002</v>
      </c>
      <c r="X428">
        <v>8616.6200000000008</v>
      </c>
      <c r="Y428">
        <f>V428-W428</f>
        <v>8616.6219999999994</v>
      </c>
      <c r="Z428" s="12">
        <f>Y428/V428</f>
        <v>0.31856837072174626</v>
      </c>
      <c r="AA428" t="s">
        <v>32</v>
      </c>
      <c r="AB428" t="s">
        <v>33</v>
      </c>
      <c r="AC428" s="14" t="s">
        <v>2794</v>
      </c>
      <c r="AD428" t="s">
        <v>2782</v>
      </c>
      <c r="AE428" t="str">
        <f>PROPER(TRIM(AB428))</f>
        <v>Completed</v>
      </c>
      <c r="AS428" t="str">
        <f t="shared" si="8"/>
        <v/>
      </c>
    </row>
    <row r="429" spans="1:45">
      <c r="A429" t="s">
        <v>1381</v>
      </c>
      <c r="B429" s="7">
        <v>45769</v>
      </c>
      <c r="C429" s="4">
        <v>45771</v>
      </c>
      <c r="D429">
        <f>C429-B429</f>
        <v>2</v>
      </c>
      <c r="E429" t="str">
        <f>TEXT(B429,"mmmm")</f>
        <v>April</v>
      </c>
      <c r="F429">
        <f>YEAR(B429)</f>
        <v>2025</v>
      </c>
      <c r="G429" t="s">
        <v>1382</v>
      </c>
      <c r="H429" t="s">
        <v>47</v>
      </c>
      <c r="I429" t="s">
        <v>90</v>
      </c>
      <c r="J429" t="s">
        <v>2783</v>
      </c>
      <c r="K429" t="s">
        <v>228</v>
      </c>
      <c r="L429" t="s">
        <v>229</v>
      </c>
      <c r="M429" t="s">
        <v>74</v>
      </c>
      <c r="N429" t="s">
        <v>75</v>
      </c>
      <c r="O429" t="s">
        <v>1383</v>
      </c>
      <c r="P429" t="s">
        <v>59</v>
      </c>
      <c r="Q429">
        <v>9</v>
      </c>
      <c r="R429">
        <v>2939.44</v>
      </c>
      <c r="S429">
        <v>0</v>
      </c>
      <c r="T429" s="12">
        <f>S429</f>
        <v>0</v>
      </c>
      <c r="U429">
        <v>26454.959999999999</v>
      </c>
      <c r="V429">
        <f>Q429*R429*(1-S429)</f>
        <v>26454.959999999999</v>
      </c>
      <c r="W429">
        <v>17630.25</v>
      </c>
      <c r="X429">
        <v>8824.7099999999991</v>
      </c>
      <c r="Y429">
        <f>V429-W429</f>
        <v>8824.7099999999991</v>
      </c>
      <c r="Z429" s="12">
        <f>Y429/V429</f>
        <v>0.33357487594008833</v>
      </c>
      <c r="AA429" t="s">
        <v>32</v>
      </c>
      <c r="AB429" t="s">
        <v>33</v>
      </c>
      <c r="AC429" s="10" t="s">
        <v>2796</v>
      </c>
      <c r="AD429" t="s">
        <v>2782</v>
      </c>
      <c r="AE429" t="str">
        <f>PROPER(TRIM(AB429))</f>
        <v>Completed</v>
      </c>
      <c r="AS429" t="str">
        <f t="shared" si="8"/>
        <v/>
      </c>
    </row>
    <row r="430" spans="1:45">
      <c r="A430" t="s">
        <v>1384</v>
      </c>
      <c r="B430" s="7">
        <v>45731</v>
      </c>
      <c r="C430" s="4">
        <v>45738</v>
      </c>
      <c r="D430">
        <f>C430-B430</f>
        <v>7</v>
      </c>
      <c r="E430" t="str">
        <f>TEXT(B430,"mmmm")</f>
        <v>March</v>
      </c>
      <c r="F430">
        <f>YEAR(B430)</f>
        <v>2025</v>
      </c>
      <c r="G430" t="s">
        <v>1385</v>
      </c>
      <c r="H430" t="s">
        <v>23</v>
      </c>
      <c r="I430" t="s">
        <v>37</v>
      </c>
      <c r="J430" t="s">
        <v>38</v>
      </c>
      <c r="K430" t="s">
        <v>99</v>
      </c>
      <c r="L430" t="s">
        <v>100</v>
      </c>
      <c r="M430" t="s">
        <v>74</v>
      </c>
      <c r="N430" t="s">
        <v>171</v>
      </c>
      <c r="O430" t="s">
        <v>1386</v>
      </c>
      <c r="P430" t="s">
        <v>44</v>
      </c>
      <c r="Q430">
        <v>2</v>
      </c>
      <c r="R430">
        <v>1235.93</v>
      </c>
      <c r="S430">
        <v>0.25</v>
      </c>
      <c r="T430" s="12">
        <f>S430</f>
        <v>0.25</v>
      </c>
      <c r="U430">
        <v>1853.89</v>
      </c>
      <c r="V430">
        <f>Q430*R430*(1-S430)</f>
        <v>1853.895</v>
      </c>
      <c r="W430">
        <v>1101.23</v>
      </c>
      <c r="X430">
        <v>752.66</v>
      </c>
      <c r="Y430">
        <f>V430-W430</f>
        <v>752.66499999999996</v>
      </c>
      <c r="Z430" s="12">
        <f>Y430/V430</f>
        <v>0.40599116994220275</v>
      </c>
      <c r="AA430" t="s">
        <v>111</v>
      </c>
      <c r="AB430" t="s">
        <v>68</v>
      </c>
      <c r="AC430" s="14" t="s">
        <v>2794</v>
      </c>
      <c r="AD430" t="s">
        <v>2782</v>
      </c>
      <c r="AE430" t="str">
        <f>PROPER(TRIM(AB430))</f>
        <v>Cancelled</v>
      </c>
      <c r="AS430" t="str">
        <f t="shared" si="8"/>
        <v/>
      </c>
    </row>
    <row r="431" spans="1:45">
      <c r="A431" t="s">
        <v>1387</v>
      </c>
      <c r="B431" s="7">
        <v>45717</v>
      </c>
      <c r="C431" s="4">
        <v>45724</v>
      </c>
      <c r="D431">
        <f>C431-B431</f>
        <v>7</v>
      </c>
      <c r="E431" t="str">
        <f>TEXT(B431,"mmmm")</f>
        <v>March</v>
      </c>
      <c r="F431">
        <f>YEAR(B431)</f>
        <v>2025</v>
      </c>
      <c r="G431" t="s">
        <v>1388</v>
      </c>
      <c r="H431" t="s">
        <v>79</v>
      </c>
      <c r="I431" t="s">
        <v>95</v>
      </c>
      <c r="J431" t="s">
        <v>25</v>
      </c>
      <c r="K431" t="s">
        <v>26</v>
      </c>
      <c r="L431" t="s">
        <v>27</v>
      </c>
      <c r="M431" t="s">
        <v>74</v>
      </c>
      <c r="N431" t="s">
        <v>80</v>
      </c>
      <c r="O431" t="s">
        <v>1389</v>
      </c>
      <c r="P431" t="s">
        <v>44</v>
      </c>
      <c r="Q431">
        <v>8</v>
      </c>
      <c r="R431">
        <v>2943.1</v>
      </c>
      <c r="S431">
        <v>0.25</v>
      </c>
      <c r="T431" s="12">
        <f>S431</f>
        <v>0.25</v>
      </c>
      <c r="U431">
        <v>17658.599999999999</v>
      </c>
      <c r="V431">
        <f>Q431*R431*(1-S431)</f>
        <v>17658.599999999999</v>
      </c>
      <c r="W431">
        <v>13842.48</v>
      </c>
      <c r="X431">
        <v>3816.12</v>
      </c>
      <c r="Y431">
        <f>V431-W431</f>
        <v>3816.119999999999</v>
      </c>
      <c r="Z431" s="12">
        <f>Y431/V431</f>
        <v>0.2161054670245659</v>
      </c>
      <c r="AA431" t="s">
        <v>32</v>
      </c>
      <c r="AB431" t="s">
        <v>33</v>
      </c>
      <c r="AC431" s="14" t="s">
        <v>2794</v>
      </c>
      <c r="AD431" t="s">
        <v>2782</v>
      </c>
      <c r="AE431" t="str">
        <f>PROPER(TRIM(AB431))</f>
        <v>Completed</v>
      </c>
      <c r="AS431" t="str">
        <f t="shared" si="8"/>
        <v/>
      </c>
    </row>
    <row r="432" spans="1:45">
      <c r="A432" t="s">
        <v>1390</v>
      </c>
      <c r="B432" s="7">
        <v>45534</v>
      </c>
      <c r="C432" s="4">
        <v>45537</v>
      </c>
      <c r="D432">
        <f>C432-B432</f>
        <v>3</v>
      </c>
      <c r="E432" t="str">
        <f>TEXT(B432,"mmmm")</f>
        <v>August</v>
      </c>
      <c r="F432">
        <f>YEAR(B432)</f>
        <v>2024</v>
      </c>
      <c r="G432" t="s">
        <v>1391</v>
      </c>
      <c r="H432" t="s">
        <v>79</v>
      </c>
      <c r="I432" t="s">
        <v>37</v>
      </c>
      <c r="J432" t="s">
        <v>25</v>
      </c>
      <c r="K432" t="s">
        <v>236</v>
      </c>
      <c r="L432" t="s">
        <v>237</v>
      </c>
      <c r="M432" t="s">
        <v>28</v>
      </c>
      <c r="N432" t="s">
        <v>29</v>
      </c>
      <c r="O432" t="s">
        <v>1392</v>
      </c>
      <c r="P432" t="s">
        <v>31</v>
      </c>
      <c r="Q432">
        <v>1</v>
      </c>
      <c r="R432">
        <v>4320.84</v>
      </c>
      <c r="S432">
        <v>0.15</v>
      </c>
      <c r="T432" s="12">
        <f>S432</f>
        <v>0.15</v>
      </c>
      <c r="U432">
        <v>3672.71</v>
      </c>
      <c r="V432">
        <f>Q432*R432*(1-S432)</f>
        <v>3672.7139999999999</v>
      </c>
      <c r="W432">
        <v>2714.23</v>
      </c>
      <c r="X432">
        <v>763.38</v>
      </c>
      <c r="Y432">
        <f>V432-W432</f>
        <v>958.48399999999992</v>
      </c>
      <c r="Z432" s="12">
        <f>Y432/V432</f>
        <v>0.26097430946161337</v>
      </c>
      <c r="AA432" t="s">
        <v>32</v>
      </c>
      <c r="AB432" t="s">
        <v>33</v>
      </c>
      <c r="AC432" s="14" t="s">
        <v>2794</v>
      </c>
      <c r="AD432" t="s">
        <v>2782</v>
      </c>
      <c r="AE432" t="str">
        <f>PROPER(TRIM(AB432))</f>
        <v>Completed</v>
      </c>
      <c r="AS432" t="str">
        <f t="shared" si="8"/>
        <v/>
      </c>
    </row>
    <row r="433" spans="1:45">
      <c r="A433" t="s">
        <v>1393</v>
      </c>
      <c r="B433" s="7">
        <v>45332</v>
      </c>
      <c r="C433" s="4">
        <v>45335</v>
      </c>
      <c r="D433">
        <f>C433-B433</f>
        <v>3</v>
      </c>
      <c r="E433" t="str">
        <f>TEXT(B433,"mmmm")</f>
        <v>February</v>
      </c>
      <c r="F433">
        <f>YEAR(B433)</f>
        <v>2024</v>
      </c>
      <c r="G433" t="s">
        <v>1394</v>
      </c>
      <c r="H433" t="s">
        <v>23</v>
      </c>
      <c r="I433" t="s">
        <v>95</v>
      </c>
      <c r="J433" t="s">
        <v>63</v>
      </c>
      <c r="K433" t="s">
        <v>190</v>
      </c>
      <c r="L433" t="s">
        <v>191</v>
      </c>
      <c r="M433" t="s">
        <v>74</v>
      </c>
      <c r="N433" t="s">
        <v>274</v>
      </c>
      <c r="O433" t="s">
        <v>1395</v>
      </c>
      <c r="P433" t="s">
        <v>44</v>
      </c>
      <c r="Q433">
        <v>2</v>
      </c>
      <c r="R433">
        <v>4118.45</v>
      </c>
      <c r="S433">
        <v>0.25</v>
      </c>
      <c r="T433" s="12">
        <f>S433</f>
        <v>0.25</v>
      </c>
      <c r="U433">
        <v>6177.67</v>
      </c>
      <c r="V433">
        <f>Q433*R433*(1-S433)</f>
        <v>6177.6749999999993</v>
      </c>
      <c r="W433">
        <v>4520.75</v>
      </c>
      <c r="X433">
        <v>1656.92</v>
      </c>
      <c r="Y433">
        <f>V433-W433</f>
        <v>1656.9249999999993</v>
      </c>
      <c r="Z433" s="12">
        <f>Y433/V433</f>
        <v>0.26821174632851347</v>
      </c>
      <c r="AA433" t="s">
        <v>32</v>
      </c>
      <c r="AB433" t="s">
        <v>33</v>
      </c>
      <c r="AC433" s="14" t="s">
        <v>2794</v>
      </c>
      <c r="AD433" t="s">
        <v>2782</v>
      </c>
      <c r="AE433" t="str">
        <f>PROPER(TRIM(AB433))</f>
        <v>Completed</v>
      </c>
      <c r="AS433" t="str">
        <f t="shared" si="8"/>
        <v/>
      </c>
    </row>
    <row r="434" spans="1:45">
      <c r="A434" t="s">
        <v>1396</v>
      </c>
      <c r="B434" s="7">
        <v>45533</v>
      </c>
      <c r="C434" s="4">
        <v>45537</v>
      </c>
      <c r="D434">
        <f>C434-B434</f>
        <v>4</v>
      </c>
      <c r="E434" t="str">
        <f>TEXT(B434,"mmmm")</f>
        <v>August</v>
      </c>
      <c r="F434">
        <f>YEAR(B434)</f>
        <v>2024</v>
      </c>
      <c r="G434" t="s">
        <v>1397</v>
      </c>
      <c r="H434" t="s">
        <v>114</v>
      </c>
      <c r="I434" t="s">
        <v>37</v>
      </c>
      <c r="J434" t="s">
        <v>63</v>
      </c>
      <c r="K434" t="s">
        <v>64</v>
      </c>
      <c r="L434" t="s">
        <v>65</v>
      </c>
      <c r="M434" t="s">
        <v>41</v>
      </c>
      <c r="N434" t="s">
        <v>158</v>
      </c>
      <c r="O434" t="s">
        <v>1398</v>
      </c>
      <c r="P434" t="s">
        <v>59</v>
      </c>
      <c r="Q434">
        <v>6</v>
      </c>
      <c r="R434">
        <v>172.82</v>
      </c>
      <c r="S434">
        <v>0.05</v>
      </c>
      <c r="T434" s="12">
        <f>S434</f>
        <v>0.05</v>
      </c>
      <c r="U434">
        <v>985.07</v>
      </c>
      <c r="V434">
        <f>Q434*R434*(1-S434)</f>
        <v>985.07400000000007</v>
      </c>
      <c r="W434">
        <v>844.48</v>
      </c>
      <c r="X434">
        <v>140.59</v>
      </c>
      <c r="Y434">
        <f>V434-W434</f>
        <v>140.59400000000005</v>
      </c>
      <c r="Z434" s="12">
        <f>Y434/V434</f>
        <v>0.14272430294576857</v>
      </c>
      <c r="AA434" t="s">
        <v>32</v>
      </c>
      <c r="AB434" t="s">
        <v>33</v>
      </c>
      <c r="AC434" s="14" t="s">
        <v>2794</v>
      </c>
      <c r="AD434" t="s">
        <v>2782</v>
      </c>
      <c r="AE434" t="str">
        <f>PROPER(TRIM(AB434))</f>
        <v>Completed</v>
      </c>
      <c r="AS434" t="str">
        <f t="shared" si="8"/>
        <v/>
      </c>
    </row>
    <row r="435" spans="1:45">
      <c r="A435" t="s">
        <v>1399</v>
      </c>
      <c r="B435" s="7">
        <v>45401</v>
      </c>
      <c r="C435" s="4">
        <v>45402</v>
      </c>
      <c r="D435">
        <f>C435-B435</f>
        <v>1</v>
      </c>
      <c r="E435" t="str">
        <f>TEXT(B435,"mmmm")</f>
        <v>April</v>
      </c>
      <c r="F435">
        <f>YEAR(B435)</f>
        <v>2024</v>
      </c>
      <c r="G435" t="s">
        <v>1400</v>
      </c>
      <c r="H435" t="s">
        <v>114</v>
      </c>
      <c r="I435" t="s">
        <v>90</v>
      </c>
      <c r="J435" t="s">
        <v>54</v>
      </c>
      <c r="K435" t="s">
        <v>185</v>
      </c>
      <c r="L435" t="s">
        <v>186</v>
      </c>
      <c r="M435" t="s">
        <v>28</v>
      </c>
      <c r="N435" t="s">
        <v>48</v>
      </c>
      <c r="O435" t="s">
        <v>1401</v>
      </c>
      <c r="P435" t="s">
        <v>31</v>
      </c>
      <c r="Q435">
        <v>4</v>
      </c>
      <c r="R435">
        <v>1540.22</v>
      </c>
      <c r="S435">
        <v>0</v>
      </c>
      <c r="T435" s="12">
        <f>S435</f>
        <v>0</v>
      </c>
      <c r="U435">
        <v>6160.88</v>
      </c>
      <c r="V435">
        <f>Q435*R435*(1-S435)</f>
        <v>6160.88</v>
      </c>
      <c r="W435">
        <v>4938.7</v>
      </c>
      <c r="X435">
        <v>1222.18</v>
      </c>
      <c r="Y435">
        <f>V435-W435</f>
        <v>1222.1800000000003</v>
      </c>
      <c r="Z435" s="12">
        <f>Y435/V435</f>
        <v>0.19837750451234243</v>
      </c>
      <c r="AA435" t="s">
        <v>102</v>
      </c>
      <c r="AB435" t="s">
        <v>103</v>
      </c>
      <c r="AC435" s="14" t="s">
        <v>2794</v>
      </c>
      <c r="AD435" t="s">
        <v>2782</v>
      </c>
      <c r="AE435" t="str">
        <f>PROPER(TRIM(AB435))</f>
        <v>Returned</v>
      </c>
      <c r="AS435" t="str">
        <f t="shared" si="8"/>
        <v/>
      </c>
    </row>
    <row r="436" spans="1:45">
      <c r="A436" t="s">
        <v>1402</v>
      </c>
      <c r="B436" s="7">
        <v>45965</v>
      </c>
      <c r="C436" s="4">
        <v>45762</v>
      </c>
      <c r="D436" s="10">
        <f>C436-B436</f>
        <v>-203</v>
      </c>
      <c r="E436" t="str">
        <f>TEXT(B436,"mmmm")</f>
        <v>November</v>
      </c>
      <c r="F436">
        <f>YEAR(B436)</f>
        <v>2025</v>
      </c>
      <c r="G436" t="s">
        <v>1403</v>
      </c>
      <c r="H436" t="s">
        <v>36</v>
      </c>
      <c r="I436" t="s">
        <v>95</v>
      </c>
      <c r="J436" t="s">
        <v>25</v>
      </c>
      <c r="K436" t="s">
        <v>136</v>
      </c>
      <c r="L436" t="s">
        <v>137</v>
      </c>
      <c r="M436" t="s">
        <v>74</v>
      </c>
      <c r="N436" t="s">
        <v>75</v>
      </c>
      <c r="O436" t="s">
        <v>1404</v>
      </c>
      <c r="P436" t="s">
        <v>31</v>
      </c>
      <c r="Q436">
        <v>5</v>
      </c>
      <c r="R436">
        <v>652.78</v>
      </c>
      <c r="S436">
        <v>0</v>
      </c>
      <c r="T436" s="12">
        <f>S436</f>
        <v>0</v>
      </c>
      <c r="U436">
        <v>3263.9</v>
      </c>
      <c r="V436">
        <f>Q436*R436*(1-S436)</f>
        <v>3263.8999999999996</v>
      </c>
      <c r="W436">
        <v>2068.44</v>
      </c>
      <c r="X436">
        <v>1195.46</v>
      </c>
      <c r="Y436">
        <f>V436-W436</f>
        <v>1195.4599999999996</v>
      </c>
      <c r="Z436" s="12">
        <f>Y436/V436</f>
        <v>0.3662673488771101</v>
      </c>
      <c r="AA436" t="s">
        <v>32</v>
      </c>
      <c r="AB436" t="s">
        <v>33</v>
      </c>
      <c r="AC436" s="10" t="s">
        <v>2792</v>
      </c>
      <c r="AD436" t="s">
        <v>2782</v>
      </c>
      <c r="AE436" t="str">
        <f>PROPER(TRIM(AB436))</f>
        <v>Completed</v>
      </c>
      <c r="AS436" t="str">
        <f t="shared" si="8"/>
        <v/>
      </c>
    </row>
    <row r="437" spans="1:45">
      <c r="A437" t="s">
        <v>1405</v>
      </c>
      <c r="B437" s="7">
        <v>45759</v>
      </c>
      <c r="C437" s="4">
        <v>45767</v>
      </c>
      <c r="D437">
        <f>C437-B437</f>
        <v>8</v>
      </c>
      <c r="E437" t="str">
        <f>TEXT(B437,"mmmm")</f>
        <v>April</v>
      </c>
      <c r="F437">
        <f>YEAR(B437)</f>
        <v>2025</v>
      </c>
      <c r="G437" t="s">
        <v>1406</v>
      </c>
      <c r="H437" t="s">
        <v>264</v>
      </c>
      <c r="I437" t="s">
        <v>95</v>
      </c>
      <c r="J437" t="s">
        <v>25</v>
      </c>
      <c r="K437" t="s">
        <v>350</v>
      </c>
      <c r="L437" t="s">
        <v>351</v>
      </c>
      <c r="M437" t="s">
        <v>74</v>
      </c>
      <c r="N437" t="s">
        <v>274</v>
      </c>
      <c r="O437" t="s">
        <v>1407</v>
      </c>
      <c r="P437" t="s">
        <v>59</v>
      </c>
      <c r="Q437">
        <v>1</v>
      </c>
      <c r="R437">
        <v>2737.71</v>
      </c>
      <c r="S437">
        <v>0.15</v>
      </c>
      <c r="T437" s="12">
        <f>S437</f>
        <v>0.15</v>
      </c>
      <c r="U437">
        <v>2327.0500000000002</v>
      </c>
      <c r="V437">
        <f>Q437*R437*(1-S437)</f>
        <v>2327.0535</v>
      </c>
      <c r="W437">
        <v>1919.42</v>
      </c>
      <c r="X437">
        <v>407.63</v>
      </c>
      <c r="Y437">
        <f>V437-W437</f>
        <v>407.63349999999991</v>
      </c>
      <c r="Z437" s="12">
        <f>Y437/V437</f>
        <v>0.17517152055163318</v>
      </c>
      <c r="AA437" t="s">
        <v>32</v>
      </c>
      <c r="AB437" t="s">
        <v>68</v>
      </c>
      <c r="AC437" s="14" t="s">
        <v>2794</v>
      </c>
      <c r="AD437" t="s">
        <v>2782</v>
      </c>
      <c r="AE437" t="str">
        <f>PROPER(TRIM(AB437))</f>
        <v>Cancelled</v>
      </c>
      <c r="AS437" t="str">
        <f t="shared" si="8"/>
        <v/>
      </c>
    </row>
    <row r="438" spans="1:45">
      <c r="A438" t="s">
        <v>1408</v>
      </c>
      <c r="B438" s="7">
        <v>45459</v>
      </c>
      <c r="C438" s="4">
        <v>45464</v>
      </c>
      <c r="D438">
        <f>C438-B438</f>
        <v>5</v>
      </c>
      <c r="E438" t="str">
        <f>TEXT(B438,"mmmm")</f>
        <v>June</v>
      </c>
      <c r="F438">
        <f>YEAR(B438)</f>
        <v>2024</v>
      </c>
      <c r="G438" t="s">
        <v>1409</v>
      </c>
      <c r="H438" t="s">
        <v>79</v>
      </c>
      <c r="I438" t="s">
        <v>24</v>
      </c>
      <c r="J438" t="s">
        <v>54</v>
      </c>
      <c r="K438" t="s">
        <v>185</v>
      </c>
      <c r="L438" t="s">
        <v>186</v>
      </c>
      <c r="M438" t="s">
        <v>41</v>
      </c>
      <c r="N438" t="s">
        <v>57</v>
      </c>
      <c r="O438" t="s">
        <v>1410</v>
      </c>
      <c r="P438" t="s">
        <v>44</v>
      </c>
      <c r="Q438">
        <v>6</v>
      </c>
      <c r="R438">
        <v>1156.78</v>
      </c>
      <c r="S438">
        <v>0.05</v>
      </c>
      <c r="T438" s="12">
        <f>S438</f>
        <v>0.05</v>
      </c>
      <c r="U438">
        <v>6593.65</v>
      </c>
      <c r="V438">
        <f>Q438*R438*(1-S438)</f>
        <v>6593.6459999999997</v>
      </c>
      <c r="W438">
        <v>4359.3900000000003</v>
      </c>
      <c r="X438">
        <v>2234.2600000000002</v>
      </c>
      <c r="Y438">
        <f>V438-W438</f>
        <v>2234.2559999999994</v>
      </c>
      <c r="Z438" s="12">
        <f>Y438/V438</f>
        <v>0.33884985636171544</v>
      </c>
      <c r="AA438" t="s">
        <v>32</v>
      </c>
      <c r="AB438" t="s">
        <v>103</v>
      </c>
      <c r="AC438" s="14" t="s">
        <v>2794</v>
      </c>
      <c r="AD438" t="s">
        <v>2782</v>
      </c>
      <c r="AE438" t="str">
        <f>PROPER(TRIM(AB438))</f>
        <v>Returned</v>
      </c>
      <c r="AS438" t="str">
        <f t="shared" si="8"/>
        <v/>
      </c>
    </row>
    <row r="439" spans="1:45">
      <c r="A439" t="s">
        <v>1411</v>
      </c>
      <c r="B439" s="7">
        <v>45337</v>
      </c>
      <c r="C439" s="4">
        <v>45340</v>
      </c>
      <c r="D439">
        <f>C439-B439</f>
        <v>3</v>
      </c>
      <c r="E439" t="str">
        <f>TEXT(B439,"mmmm")</f>
        <v>February</v>
      </c>
      <c r="F439">
        <f>YEAR(B439)</f>
        <v>2024</v>
      </c>
      <c r="G439" t="s">
        <v>1412</v>
      </c>
      <c r="H439" t="s">
        <v>89</v>
      </c>
      <c r="I439" t="s">
        <v>37</v>
      </c>
      <c r="J439" t="s">
        <v>54</v>
      </c>
      <c r="K439" t="s">
        <v>185</v>
      </c>
      <c r="L439" t="s">
        <v>186</v>
      </c>
      <c r="M439" t="s">
        <v>74</v>
      </c>
      <c r="N439" t="s">
        <v>75</v>
      </c>
      <c r="O439" t="s">
        <v>1413</v>
      </c>
      <c r="P439" t="s">
        <v>44</v>
      </c>
      <c r="Q439">
        <v>8</v>
      </c>
      <c r="R439">
        <v>379.82</v>
      </c>
      <c r="S439">
        <v>0.05</v>
      </c>
      <c r="T439" s="12">
        <f>S439</f>
        <v>0.05</v>
      </c>
      <c r="U439">
        <v>2886.63</v>
      </c>
      <c r="V439">
        <f>Q439*R439*(1-S439)</f>
        <v>2886.6319999999996</v>
      </c>
      <c r="W439">
        <v>1588.23</v>
      </c>
      <c r="X439">
        <v>1298.4000000000001</v>
      </c>
      <c r="Y439">
        <f>V439-W439</f>
        <v>1298.4019999999996</v>
      </c>
      <c r="Z439" s="12">
        <f>Y439/V439</f>
        <v>0.44979824238073984</v>
      </c>
      <c r="AA439" t="s">
        <v>155</v>
      </c>
      <c r="AB439" t="s">
        <v>103</v>
      </c>
      <c r="AC439" s="14" t="s">
        <v>2794</v>
      </c>
      <c r="AD439" t="s">
        <v>2782</v>
      </c>
      <c r="AE439" t="str">
        <f>PROPER(TRIM(AB439))</f>
        <v>Returned</v>
      </c>
      <c r="AS439" t="str">
        <f t="shared" si="8"/>
        <v/>
      </c>
    </row>
    <row r="440" spans="1:45">
      <c r="A440" t="s">
        <v>1414</v>
      </c>
      <c r="B440" s="7">
        <v>45784</v>
      </c>
      <c r="C440" s="4">
        <v>45782</v>
      </c>
      <c r="D440" s="10">
        <f>C440-B440</f>
        <v>-2</v>
      </c>
      <c r="E440" t="str">
        <f>TEXT(B440,"mmmm")</f>
        <v>May</v>
      </c>
      <c r="F440">
        <f>YEAR(B440)</f>
        <v>2025</v>
      </c>
      <c r="G440" t="s">
        <v>1415</v>
      </c>
      <c r="H440" t="s">
        <v>79</v>
      </c>
      <c r="I440" t="s">
        <v>90</v>
      </c>
      <c r="J440" t="s">
        <v>38</v>
      </c>
      <c r="K440" t="s">
        <v>228</v>
      </c>
      <c r="L440" t="s">
        <v>229</v>
      </c>
      <c r="M440" t="s">
        <v>74</v>
      </c>
      <c r="N440" t="s">
        <v>171</v>
      </c>
      <c r="O440" t="s">
        <v>1416</v>
      </c>
      <c r="P440" t="s">
        <v>59</v>
      </c>
      <c r="Q440">
        <v>1</v>
      </c>
      <c r="R440">
        <v>2266.4699999999998</v>
      </c>
      <c r="S440">
        <v>0.2</v>
      </c>
      <c r="T440" s="12">
        <f>S440</f>
        <v>0.2</v>
      </c>
      <c r="U440">
        <v>1813.18</v>
      </c>
      <c r="V440">
        <f>Q440*R440*(1-S440)</f>
        <v>1813.1759999999999</v>
      </c>
      <c r="W440">
        <v>1363.64</v>
      </c>
      <c r="X440">
        <v>449.54</v>
      </c>
      <c r="Y440">
        <f>V440-W440</f>
        <v>449.53599999999983</v>
      </c>
      <c r="Z440" s="12">
        <f>Y440/V440</f>
        <v>0.24792739370033567</v>
      </c>
      <c r="AA440" t="s">
        <v>32</v>
      </c>
      <c r="AB440" t="s">
        <v>33</v>
      </c>
      <c r="AC440" s="10" t="s">
        <v>2792</v>
      </c>
      <c r="AD440" t="s">
        <v>2782</v>
      </c>
      <c r="AE440" t="str">
        <f>PROPER(TRIM(AB440))</f>
        <v>Completed</v>
      </c>
      <c r="AS440" t="str">
        <f t="shared" si="8"/>
        <v/>
      </c>
    </row>
    <row r="441" spans="1:45">
      <c r="A441" t="s">
        <v>1417</v>
      </c>
      <c r="B441" s="7">
        <v>45838</v>
      </c>
      <c r="C441" s="4">
        <v>45841</v>
      </c>
      <c r="D441">
        <f>C441-B441</f>
        <v>3</v>
      </c>
      <c r="E441" t="str">
        <f>TEXT(B441,"mmmm")</f>
        <v>June</v>
      </c>
      <c r="F441">
        <f>YEAR(B441)</f>
        <v>2025</v>
      </c>
      <c r="G441" t="s">
        <v>1418</v>
      </c>
      <c r="H441" t="s">
        <v>128</v>
      </c>
      <c r="I441" t="s">
        <v>95</v>
      </c>
      <c r="J441" t="s">
        <v>63</v>
      </c>
      <c r="K441" t="s">
        <v>190</v>
      </c>
      <c r="L441" t="s">
        <v>191</v>
      </c>
      <c r="M441" t="s">
        <v>28</v>
      </c>
      <c r="N441" t="s">
        <v>124</v>
      </c>
      <c r="O441" t="s">
        <v>1419</v>
      </c>
      <c r="P441" t="s">
        <v>44</v>
      </c>
      <c r="Q441">
        <v>5</v>
      </c>
      <c r="R441">
        <v>665.25</v>
      </c>
      <c r="S441">
        <v>0</v>
      </c>
      <c r="T441" s="12">
        <f>S441</f>
        <v>0</v>
      </c>
      <c r="U441">
        <v>3326.25</v>
      </c>
      <c r="V441">
        <f>Q441*R441*(1-S441)</f>
        <v>3326.25</v>
      </c>
      <c r="W441">
        <v>2689.36</v>
      </c>
      <c r="X441">
        <v>636.89</v>
      </c>
      <c r="Y441">
        <f>V441-W441</f>
        <v>636.88999999999987</v>
      </c>
      <c r="Z441" s="12">
        <f>Y441/V441</f>
        <v>0.19147388199924836</v>
      </c>
      <c r="AA441" t="s">
        <v>102</v>
      </c>
      <c r="AB441" t="s">
        <v>103</v>
      </c>
      <c r="AC441" s="14" t="s">
        <v>2794</v>
      </c>
      <c r="AD441" t="s">
        <v>2782</v>
      </c>
      <c r="AE441" t="str">
        <f>PROPER(TRIM(AB441))</f>
        <v>Returned</v>
      </c>
      <c r="AS441" t="str">
        <f t="shared" si="8"/>
        <v/>
      </c>
    </row>
    <row r="442" spans="1:45">
      <c r="A442" t="s">
        <v>1420</v>
      </c>
      <c r="B442" s="7">
        <v>45326</v>
      </c>
      <c r="C442" s="4">
        <v>45508</v>
      </c>
      <c r="D442">
        <f>C442-B442</f>
        <v>182</v>
      </c>
      <c r="E442" t="str">
        <f>TEXT(B442,"mmmm")</f>
        <v>February</v>
      </c>
      <c r="F442">
        <f>YEAR(B442)</f>
        <v>2024</v>
      </c>
      <c r="G442" t="s">
        <v>270</v>
      </c>
      <c r="H442" t="s">
        <v>71</v>
      </c>
      <c r="I442" t="s">
        <v>90</v>
      </c>
      <c r="J442" t="s">
        <v>38</v>
      </c>
      <c r="K442" t="s">
        <v>39</v>
      </c>
      <c r="L442" t="s">
        <v>40</v>
      </c>
      <c r="M442" t="s">
        <v>74</v>
      </c>
      <c r="N442" t="s">
        <v>274</v>
      </c>
      <c r="O442" t="s">
        <v>1421</v>
      </c>
      <c r="P442" t="s">
        <v>31</v>
      </c>
      <c r="Q442">
        <v>6</v>
      </c>
      <c r="R442">
        <v>3722.84</v>
      </c>
      <c r="S442">
        <v>0.2</v>
      </c>
      <c r="T442" s="12">
        <f>S442</f>
        <v>0.2</v>
      </c>
      <c r="U442">
        <v>17869.63</v>
      </c>
      <c r="V442">
        <f>Q442*R442*(1-S442)</f>
        <v>17869.632000000001</v>
      </c>
      <c r="W442">
        <v>12163.8</v>
      </c>
      <c r="X442">
        <v>5705.83</v>
      </c>
      <c r="Y442">
        <f>V442-W442</f>
        <v>5705.8320000000022</v>
      </c>
      <c r="Z442" s="12">
        <f>Y442/V442</f>
        <v>0.31930327384469931</v>
      </c>
      <c r="AA442" t="s">
        <v>32</v>
      </c>
      <c r="AB442" t="s">
        <v>33</v>
      </c>
      <c r="AC442" s="14" t="s">
        <v>2794</v>
      </c>
      <c r="AD442" t="s">
        <v>2782</v>
      </c>
      <c r="AE442" t="str">
        <f>PROPER(TRIM(AB442))</f>
        <v>Completed</v>
      </c>
      <c r="AS442" t="str">
        <f t="shared" si="8"/>
        <v/>
      </c>
    </row>
    <row r="443" spans="1:45">
      <c r="A443" t="s">
        <v>1422</v>
      </c>
      <c r="B443" s="7">
        <v>45568</v>
      </c>
      <c r="C443" s="4">
        <v>45568</v>
      </c>
      <c r="D443">
        <f>C443-B443</f>
        <v>0</v>
      </c>
      <c r="E443" t="str">
        <f>TEXT(B443,"mmmm")</f>
        <v>October</v>
      </c>
      <c r="F443">
        <f>YEAR(B443)</f>
        <v>2024</v>
      </c>
      <c r="G443" t="s">
        <v>1423</v>
      </c>
      <c r="H443" t="s">
        <v>23</v>
      </c>
      <c r="I443" t="s">
        <v>24</v>
      </c>
      <c r="J443" t="s">
        <v>38</v>
      </c>
      <c r="K443" t="s">
        <v>145</v>
      </c>
      <c r="L443" t="s">
        <v>146</v>
      </c>
      <c r="M443" t="s">
        <v>41</v>
      </c>
      <c r="N443" t="s">
        <v>158</v>
      </c>
      <c r="O443" t="s">
        <v>1424</v>
      </c>
      <c r="P443" t="s">
        <v>59</v>
      </c>
      <c r="Q443">
        <v>6</v>
      </c>
      <c r="R443">
        <v>4217.49</v>
      </c>
      <c r="S443">
        <v>0</v>
      </c>
      <c r="T443" s="12">
        <f>S443</f>
        <v>0</v>
      </c>
      <c r="U443">
        <v>25304.94</v>
      </c>
      <c r="V443">
        <f>Q443*R443*(1-S443)</f>
        <v>25304.94</v>
      </c>
      <c r="W443">
        <v>20771.95</v>
      </c>
      <c r="X443">
        <v>4532.99</v>
      </c>
      <c r="Y443">
        <f>V443-W443</f>
        <v>4532.989999999998</v>
      </c>
      <c r="Z443" s="12">
        <f>Y443/V443</f>
        <v>0.17913458795002077</v>
      </c>
      <c r="AA443" t="s">
        <v>32</v>
      </c>
      <c r="AB443" t="s">
        <v>68</v>
      </c>
      <c r="AC443" s="14" t="s">
        <v>2794</v>
      </c>
      <c r="AD443" t="s">
        <v>2782</v>
      </c>
      <c r="AE443" t="str">
        <f>PROPER(TRIM(AB443))</f>
        <v>Cancelled</v>
      </c>
      <c r="AS443" t="str">
        <f t="shared" si="8"/>
        <v/>
      </c>
    </row>
    <row r="444" spans="1:45">
      <c r="A444" t="s">
        <v>1425</v>
      </c>
      <c r="B444" s="7">
        <v>45669</v>
      </c>
      <c r="C444" s="4">
        <v>45676</v>
      </c>
      <c r="D444">
        <f>C444-B444</f>
        <v>7</v>
      </c>
      <c r="E444" t="str">
        <f>TEXT(B444,"mmmm")</f>
        <v>January</v>
      </c>
      <c r="F444">
        <f>YEAR(B444)</f>
        <v>2025</v>
      </c>
      <c r="G444" t="s">
        <v>1426</v>
      </c>
      <c r="H444" t="s">
        <v>128</v>
      </c>
      <c r="I444" t="s">
        <v>24</v>
      </c>
      <c r="J444" t="s">
        <v>38</v>
      </c>
      <c r="K444" t="s">
        <v>228</v>
      </c>
      <c r="L444" t="s">
        <v>229</v>
      </c>
      <c r="M444" t="s">
        <v>41</v>
      </c>
      <c r="N444" t="s">
        <v>42</v>
      </c>
      <c r="O444" t="s">
        <v>1427</v>
      </c>
      <c r="P444" t="s">
        <v>50</v>
      </c>
      <c r="Q444">
        <v>1</v>
      </c>
      <c r="R444">
        <v>1842.31</v>
      </c>
      <c r="S444">
        <v>0</v>
      </c>
      <c r="T444" s="12">
        <f>S444</f>
        <v>0</v>
      </c>
      <c r="U444">
        <v>1842.31</v>
      </c>
      <c r="V444">
        <f>Q444*R444*(1-S444)</f>
        <v>1842.31</v>
      </c>
      <c r="W444">
        <v>1019.17</v>
      </c>
      <c r="X444">
        <v>823.14</v>
      </c>
      <c r="Y444">
        <f>V444-W444</f>
        <v>823.14</v>
      </c>
      <c r="Z444" s="12">
        <f>Y444/V444</f>
        <v>0.44679777019068451</v>
      </c>
      <c r="AA444" t="s">
        <v>32</v>
      </c>
      <c r="AB444" t="s">
        <v>33</v>
      </c>
      <c r="AC444" s="14" t="s">
        <v>2794</v>
      </c>
      <c r="AD444" t="s">
        <v>2782</v>
      </c>
      <c r="AE444" t="str">
        <f>PROPER(TRIM(AB444))</f>
        <v>Completed</v>
      </c>
      <c r="AS444" t="str">
        <f t="shared" si="8"/>
        <v/>
      </c>
    </row>
    <row r="445" spans="1:45">
      <c r="A445" t="s">
        <v>1428</v>
      </c>
      <c r="B445" s="7">
        <v>45386</v>
      </c>
      <c r="C445" s="4">
        <v>45389</v>
      </c>
      <c r="D445">
        <f>C445-B445</f>
        <v>3</v>
      </c>
      <c r="E445" t="str">
        <f>TEXT(B445,"mmmm")</f>
        <v>April</v>
      </c>
      <c r="F445">
        <f>YEAR(B445)</f>
        <v>2024</v>
      </c>
      <c r="G445" t="s">
        <v>1429</v>
      </c>
      <c r="H445" t="s">
        <v>141</v>
      </c>
      <c r="I445" t="s">
        <v>95</v>
      </c>
      <c r="J445" t="s">
        <v>38</v>
      </c>
      <c r="K445" t="s">
        <v>39</v>
      </c>
      <c r="L445" t="s">
        <v>40</v>
      </c>
      <c r="M445" t="s">
        <v>41</v>
      </c>
      <c r="N445" t="s">
        <v>57</v>
      </c>
      <c r="O445" t="s">
        <v>1430</v>
      </c>
      <c r="P445" t="s">
        <v>50</v>
      </c>
      <c r="Q445">
        <v>1</v>
      </c>
      <c r="R445">
        <v>3683.75</v>
      </c>
      <c r="S445">
        <v>0.1</v>
      </c>
      <c r="T445" s="12">
        <f>S445</f>
        <v>0.1</v>
      </c>
      <c r="U445">
        <v>3315.38</v>
      </c>
      <c r="V445">
        <f>Q445*R445*(1-S445)</f>
        <v>3315.375</v>
      </c>
      <c r="W445">
        <v>2347.6799999999998</v>
      </c>
      <c r="X445">
        <v>967.7</v>
      </c>
      <c r="Y445">
        <f>V445-W445</f>
        <v>967.69500000000016</v>
      </c>
      <c r="Z445" s="12">
        <f>Y445/V445</f>
        <v>0.29188100893564084</v>
      </c>
      <c r="AA445" t="s">
        <v>32</v>
      </c>
      <c r="AB445" t="s">
        <v>33</v>
      </c>
      <c r="AC445" s="14" t="s">
        <v>2794</v>
      </c>
      <c r="AD445" t="s">
        <v>2782</v>
      </c>
      <c r="AE445" t="str">
        <f>PROPER(TRIM(AB445))</f>
        <v>Completed</v>
      </c>
      <c r="AS445" t="str">
        <f t="shared" si="8"/>
        <v/>
      </c>
    </row>
    <row r="446" spans="1:45">
      <c r="A446" t="s">
        <v>1431</v>
      </c>
      <c r="B446" s="7">
        <v>45881</v>
      </c>
      <c r="C446" s="4">
        <v>45885</v>
      </c>
      <c r="D446">
        <f>C446-B446</f>
        <v>4</v>
      </c>
      <c r="E446" t="str">
        <f>TEXT(B446,"mmmm")</f>
        <v>August</v>
      </c>
      <c r="F446">
        <f>YEAR(B446)</f>
        <v>2025</v>
      </c>
      <c r="G446" t="s">
        <v>1432</v>
      </c>
      <c r="H446" t="s">
        <v>62</v>
      </c>
      <c r="I446" t="s">
        <v>24</v>
      </c>
      <c r="J446" t="s">
        <v>38</v>
      </c>
      <c r="K446" t="s">
        <v>166</v>
      </c>
      <c r="L446" t="s">
        <v>167</v>
      </c>
      <c r="M446" t="s">
        <v>74</v>
      </c>
      <c r="N446" t="s">
        <v>75</v>
      </c>
      <c r="O446" t="s">
        <v>1433</v>
      </c>
      <c r="P446" t="s">
        <v>44</v>
      </c>
      <c r="Q446">
        <v>9</v>
      </c>
      <c r="R446">
        <v>2379.2399999999998</v>
      </c>
      <c r="S446">
        <v>0.05</v>
      </c>
      <c r="T446" s="12">
        <f>S446</f>
        <v>0.05</v>
      </c>
      <c r="U446">
        <v>20342.5</v>
      </c>
      <c r="V446">
        <f>Q446*R446*(1-S446)</f>
        <v>20342.501999999997</v>
      </c>
      <c r="W446">
        <v>12407.51</v>
      </c>
      <c r="X446">
        <v>7934.99</v>
      </c>
      <c r="Y446">
        <f>V446-W446</f>
        <v>7934.9919999999966</v>
      </c>
      <c r="Z446" s="12">
        <f>Y446/V446</f>
        <v>0.39006961877157481</v>
      </c>
      <c r="AA446" t="s">
        <v>32</v>
      </c>
      <c r="AB446" t="s">
        <v>33</v>
      </c>
      <c r="AC446" s="14" t="s">
        <v>2794</v>
      </c>
      <c r="AD446" t="s">
        <v>2782</v>
      </c>
      <c r="AE446" t="str">
        <f>PROPER(TRIM(AB446))</f>
        <v>Completed</v>
      </c>
      <c r="AS446" t="str">
        <f t="shared" si="8"/>
        <v/>
      </c>
    </row>
    <row r="447" spans="1:45">
      <c r="A447" t="s">
        <v>1434</v>
      </c>
      <c r="B447" s="7">
        <v>45540</v>
      </c>
      <c r="C447" s="4">
        <v>45417</v>
      </c>
      <c r="D447" s="10">
        <f>C447-B447</f>
        <v>-123</v>
      </c>
      <c r="E447" t="str">
        <f>TEXT(B447,"mmmm")</f>
        <v>September</v>
      </c>
      <c r="F447">
        <f>YEAR(B447)</f>
        <v>2024</v>
      </c>
      <c r="G447" t="s">
        <v>1435</v>
      </c>
      <c r="H447" t="s">
        <v>53</v>
      </c>
      <c r="I447" t="s">
        <v>24</v>
      </c>
      <c r="J447" t="s">
        <v>38</v>
      </c>
      <c r="K447" t="s">
        <v>166</v>
      </c>
      <c r="L447" t="s">
        <v>167</v>
      </c>
      <c r="M447" t="s">
        <v>41</v>
      </c>
      <c r="N447" t="s">
        <v>158</v>
      </c>
      <c r="O447" t="s">
        <v>1436</v>
      </c>
      <c r="P447" t="s">
        <v>44</v>
      </c>
      <c r="Q447">
        <v>2</v>
      </c>
      <c r="R447">
        <v>2111.23</v>
      </c>
      <c r="S447">
        <v>0.2</v>
      </c>
      <c r="T447" s="12">
        <f>S447</f>
        <v>0.2</v>
      </c>
      <c r="U447">
        <v>3377.97</v>
      </c>
      <c r="V447">
        <f>Q447*R447*(1-S447)</f>
        <v>3377.9680000000003</v>
      </c>
      <c r="W447">
        <v>2496.29</v>
      </c>
      <c r="X447">
        <v>881.68</v>
      </c>
      <c r="Y447">
        <f>V447-W447</f>
        <v>881.67800000000034</v>
      </c>
      <c r="Z447" s="12">
        <f>Y447/V447</f>
        <v>0.26100839321154029</v>
      </c>
      <c r="AA447" t="s">
        <v>32</v>
      </c>
      <c r="AB447" t="s">
        <v>33</v>
      </c>
      <c r="AC447" s="10" t="s">
        <v>2792</v>
      </c>
      <c r="AD447" t="s">
        <v>2782</v>
      </c>
      <c r="AE447" t="str">
        <f>PROPER(TRIM(AB447))</f>
        <v>Completed</v>
      </c>
      <c r="AS447" t="str">
        <f t="shared" si="8"/>
        <v/>
      </c>
    </row>
    <row r="448" spans="1:45">
      <c r="A448" t="s">
        <v>1437</v>
      </c>
      <c r="B448" s="7">
        <v>45918</v>
      </c>
      <c r="C448" s="4">
        <v>45919</v>
      </c>
      <c r="D448">
        <f>C448-B448</f>
        <v>1</v>
      </c>
      <c r="E448" t="str">
        <f>TEXT(B448,"mmmm")</f>
        <v>September</v>
      </c>
      <c r="F448">
        <f>YEAR(B448)</f>
        <v>2025</v>
      </c>
      <c r="G448" t="s">
        <v>1438</v>
      </c>
      <c r="H448" t="s">
        <v>132</v>
      </c>
      <c r="I448" t="s">
        <v>95</v>
      </c>
      <c r="J448" t="s">
        <v>54</v>
      </c>
      <c r="K448" t="s">
        <v>84</v>
      </c>
      <c r="L448" t="s">
        <v>85</v>
      </c>
      <c r="M448" t="s">
        <v>28</v>
      </c>
      <c r="N448" t="s">
        <v>124</v>
      </c>
      <c r="O448" t="s">
        <v>1439</v>
      </c>
      <c r="P448" t="s">
        <v>44</v>
      </c>
      <c r="Q448">
        <v>8</v>
      </c>
      <c r="R448">
        <v>4242.51</v>
      </c>
      <c r="S448">
        <v>0</v>
      </c>
      <c r="T448" s="12">
        <f>S448</f>
        <v>0</v>
      </c>
      <c r="U448">
        <v>33940.080000000002</v>
      </c>
      <c r="V448">
        <f>Q448*R448*(1-S448)</f>
        <v>33940.080000000002</v>
      </c>
      <c r="W448">
        <v>23754.19</v>
      </c>
      <c r="X448">
        <v>10185.89</v>
      </c>
      <c r="Y448">
        <f>V448-W448</f>
        <v>10185.890000000003</v>
      </c>
      <c r="Z448" s="12">
        <f>Y448/V448</f>
        <v>0.30011390662603044</v>
      </c>
      <c r="AA448" t="s">
        <v>32</v>
      </c>
      <c r="AB448" t="s">
        <v>33</v>
      </c>
      <c r="AC448" s="14" t="s">
        <v>2794</v>
      </c>
      <c r="AD448" t="s">
        <v>2782</v>
      </c>
      <c r="AE448" t="str">
        <f>PROPER(TRIM(AB448))</f>
        <v>Completed</v>
      </c>
      <c r="AS448" t="str">
        <f t="shared" si="8"/>
        <v/>
      </c>
    </row>
    <row r="449" spans="1:45">
      <c r="A449" t="s">
        <v>1440</v>
      </c>
      <c r="B449" s="7">
        <v>45879</v>
      </c>
      <c r="C449" s="4">
        <v>45879</v>
      </c>
      <c r="D449">
        <f>C449-B449</f>
        <v>0</v>
      </c>
      <c r="E449" t="str">
        <f>TEXT(B449,"mmmm")</f>
        <v>August</v>
      </c>
      <c r="F449">
        <f>YEAR(B449)</f>
        <v>2025</v>
      </c>
      <c r="G449" t="s">
        <v>1441</v>
      </c>
      <c r="H449" t="s">
        <v>141</v>
      </c>
      <c r="I449" t="s">
        <v>95</v>
      </c>
      <c r="J449" t="s">
        <v>54</v>
      </c>
      <c r="K449" t="s">
        <v>55</v>
      </c>
      <c r="L449" t="s">
        <v>56</v>
      </c>
      <c r="M449" t="s">
        <v>41</v>
      </c>
      <c r="N449" t="s">
        <v>158</v>
      </c>
      <c r="O449" t="s">
        <v>1442</v>
      </c>
      <c r="P449" t="s">
        <v>59</v>
      </c>
      <c r="Q449">
        <v>6</v>
      </c>
      <c r="R449">
        <v>4288.7</v>
      </c>
      <c r="S449">
        <v>0.15</v>
      </c>
      <c r="T449" s="12">
        <f>S449</f>
        <v>0.15</v>
      </c>
      <c r="U449">
        <v>21872.37</v>
      </c>
      <c r="V449">
        <f>Q449*R449*(1-S449)</f>
        <v>21872.369999999995</v>
      </c>
      <c r="W449">
        <v>13829.5</v>
      </c>
      <c r="X449">
        <v>8042.87</v>
      </c>
      <c r="Y449">
        <f>V449-W449</f>
        <v>8042.8699999999953</v>
      </c>
      <c r="Z449" s="12">
        <f>Y449/V449</f>
        <v>0.36771826738483288</v>
      </c>
      <c r="AA449" t="s">
        <v>111</v>
      </c>
      <c r="AB449" t="s">
        <v>103</v>
      </c>
      <c r="AC449" s="14" t="s">
        <v>2794</v>
      </c>
      <c r="AD449" t="s">
        <v>2782</v>
      </c>
      <c r="AE449" t="str">
        <f>PROPER(TRIM(AB449))</f>
        <v>Returned</v>
      </c>
      <c r="AS449" t="str">
        <f t="shared" si="8"/>
        <v/>
      </c>
    </row>
    <row r="450" spans="1:45">
      <c r="A450" t="s">
        <v>1443</v>
      </c>
      <c r="B450" s="7">
        <v>45306</v>
      </c>
      <c r="C450" s="4">
        <v>45309</v>
      </c>
      <c r="D450">
        <f>C450-B450</f>
        <v>3</v>
      </c>
      <c r="E450" t="str">
        <f>TEXT(B450,"mmmm")</f>
        <v>January</v>
      </c>
      <c r="F450">
        <f>YEAR(B450)</f>
        <v>2024</v>
      </c>
      <c r="G450" t="s">
        <v>1444</v>
      </c>
      <c r="H450" t="s">
        <v>36</v>
      </c>
      <c r="I450" t="s">
        <v>37</v>
      </c>
      <c r="J450" t="s">
        <v>54</v>
      </c>
      <c r="K450" t="s">
        <v>84</v>
      </c>
      <c r="L450" t="s">
        <v>85</v>
      </c>
      <c r="M450" t="s">
        <v>41</v>
      </c>
      <c r="N450" t="s">
        <v>66</v>
      </c>
      <c r="O450" t="s">
        <v>1445</v>
      </c>
      <c r="P450" t="s">
        <v>50</v>
      </c>
      <c r="Q450">
        <v>2</v>
      </c>
      <c r="R450">
        <v>201.21</v>
      </c>
      <c r="S450">
        <v>0.15</v>
      </c>
      <c r="T450" s="12">
        <f>S450</f>
        <v>0.15</v>
      </c>
      <c r="U450">
        <v>342.06</v>
      </c>
      <c r="V450">
        <f>Q450*R450*(1-S450)</f>
        <v>342.05700000000002</v>
      </c>
      <c r="W450">
        <v>244.57</v>
      </c>
      <c r="X450">
        <v>97.49</v>
      </c>
      <c r="Y450">
        <f>V450-W450</f>
        <v>97.487000000000023</v>
      </c>
      <c r="Z450" s="12">
        <f>Y450/V450</f>
        <v>0.28500220723446684</v>
      </c>
      <c r="AA450" t="s">
        <v>32</v>
      </c>
      <c r="AB450" t="s">
        <v>33</v>
      </c>
      <c r="AC450" s="14" t="s">
        <v>2794</v>
      </c>
      <c r="AD450" t="s">
        <v>2782</v>
      </c>
      <c r="AE450" t="str">
        <f>PROPER(TRIM(AB450))</f>
        <v>Completed</v>
      </c>
      <c r="AS450" t="str">
        <f t="shared" si="8"/>
        <v/>
      </c>
    </row>
    <row r="451" spans="1:45">
      <c r="A451" t="s">
        <v>1446</v>
      </c>
      <c r="B451" s="7">
        <v>45449</v>
      </c>
      <c r="C451" s="4">
        <v>45456</v>
      </c>
      <c r="D451">
        <f>C451-B451</f>
        <v>7</v>
      </c>
      <c r="E451" t="str">
        <f>TEXT(B451,"mmmm")</f>
        <v>June</v>
      </c>
      <c r="F451">
        <f>YEAR(B451)</f>
        <v>2024</v>
      </c>
      <c r="G451" t="s">
        <v>1340</v>
      </c>
      <c r="H451" t="s">
        <v>89</v>
      </c>
      <c r="I451" t="s">
        <v>90</v>
      </c>
      <c r="J451" t="s">
        <v>38</v>
      </c>
      <c r="K451" t="s">
        <v>166</v>
      </c>
      <c r="L451" t="s">
        <v>167</v>
      </c>
      <c r="M451" t="s">
        <v>74</v>
      </c>
      <c r="N451" t="s">
        <v>274</v>
      </c>
      <c r="O451" t="s">
        <v>1447</v>
      </c>
      <c r="P451" t="s">
        <v>31</v>
      </c>
      <c r="Q451">
        <v>6</v>
      </c>
      <c r="R451">
        <v>3270.36</v>
      </c>
      <c r="S451">
        <v>0</v>
      </c>
      <c r="T451" s="12">
        <f>S451</f>
        <v>0</v>
      </c>
      <c r="U451">
        <v>19622.16</v>
      </c>
      <c r="V451">
        <f>Q451*R451*(1-S451)</f>
        <v>19622.16</v>
      </c>
      <c r="W451">
        <v>14271.27</v>
      </c>
      <c r="X451">
        <v>5350.89</v>
      </c>
      <c r="Y451">
        <f>V451-W451</f>
        <v>5350.8899999999994</v>
      </c>
      <c r="Z451" s="12">
        <f>Y451/V451</f>
        <v>0.27269627808559299</v>
      </c>
      <c r="AA451" t="s">
        <v>32</v>
      </c>
      <c r="AB451" t="s">
        <v>33</v>
      </c>
      <c r="AC451" s="14" t="s">
        <v>2794</v>
      </c>
      <c r="AD451" t="s">
        <v>2782</v>
      </c>
      <c r="AE451" t="str">
        <f>PROPER(TRIM(AB451))</f>
        <v>Completed</v>
      </c>
      <c r="AS451" t="str">
        <f t="shared" ref="AS451:AS514" si="9">PROPER(TRIM(AD451))</f>
        <v/>
      </c>
    </row>
    <row r="452" spans="1:45">
      <c r="A452" t="s">
        <v>1448</v>
      </c>
      <c r="B452" s="7">
        <v>45997</v>
      </c>
      <c r="C452" s="4">
        <v>45827</v>
      </c>
      <c r="D452" s="10">
        <f>C452-B452</f>
        <v>-170</v>
      </c>
      <c r="E452" t="str">
        <f>TEXT(B452,"mmmm")</f>
        <v>December</v>
      </c>
      <c r="F452">
        <f>YEAR(B452)</f>
        <v>2025</v>
      </c>
      <c r="G452" t="s">
        <v>1449</v>
      </c>
      <c r="H452" t="s">
        <v>62</v>
      </c>
      <c r="I452" t="s">
        <v>90</v>
      </c>
      <c r="J452" t="s">
        <v>25</v>
      </c>
      <c r="K452" t="s">
        <v>350</v>
      </c>
      <c r="L452" t="s">
        <v>351</v>
      </c>
      <c r="M452" t="s">
        <v>41</v>
      </c>
      <c r="N452" t="s">
        <v>66</v>
      </c>
      <c r="O452" t="s">
        <v>1450</v>
      </c>
      <c r="P452" t="s">
        <v>59</v>
      </c>
      <c r="Q452">
        <v>9</v>
      </c>
      <c r="R452">
        <v>2278.5700000000002</v>
      </c>
      <c r="S452">
        <v>0.25</v>
      </c>
      <c r="T452" s="12">
        <f>S452</f>
        <v>0.25</v>
      </c>
      <c r="U452">
        <v>15380.35</v>
      </c>
      <c r="V452">
        <f>Q452*R452*(1-S452)</f>
        <v>15380.3475</v>
      </c>
      <c r="W452">
        <v>9907.3700000000008</v>
      </c>
      <c r="X452">
        <v>5472.98</v>
      </c>
      <c r="Y452">
        <f>V452-W452</f>
        <v>5472.9774999999991</v>
      </c>
      <c r="Z452" s="12">
        <f>Y452/V452</f>
        <v>0.35584225258889624</v>
      </c>
      <c r="AA452" t="s">
        <v>32</v>
      </c>
      <c r="AB452" t="s">
        <v>33</v>
      </c>
      <c r="AC452" s="10" t="s">
        <v>2792</v>
      </c>
      <c r="AD452" t="s">
        <v>2782</v>
      </c>
      <c r="AE452" t="str">
        <f>PROPER(TRIM(AB452))</f>
        <v>Completed</v>
      </c>
      <c r="AS452" t="str">
        <f t="shared" si="9"/>
        <v/>
      </c>
    </row>
    <row r="453" spans="1:45">
      <c r="A453" t="s">
        <v>1451</v>
      </c>
      <c r="B453" s="7">
        <v>45375</v>
      </c>
      <c r="C453" s="4">
        <v>45377</v>
      </c>
      <c r="D453">
        <f>C453-B453</f>
        <v>2</v>
      </c>
      <c r="E453" t="str">
        <f>TEXT(B453,"mmmm")</f>
        <v>March</v>
      </c>
      <c r="F453">
        <f>YEAR(B453)</f>
        <v>2024</v>
      </c>
      <c r="G453" t="s">
        <v>1452</v>
      </c>
      <c r="H453" t="s">
        <v>141</v>
      </c>
      <c r="I453" t="s">
        <v>37</v>
      </c>
      <c r="J453" t="s">
        <v>25</v>
      </c>
      <c r="K453" t="s">
        <v>236</v>
      </c>
      <c r="L453" t="s">
        <v>237</v>
      </c>
      <c r="M453" t="s">
        <v>28</v>
      </c>
      <c r="N453" t="s">
        <v>29</v>
      </c>
      <c r="O453" t="s">
        <v>1453</v>
      </c>
      <c r="P453" t="s">
        <v>31</v>
      </c>
      <c r="Q453">
        <v>8</v>
      </c>
      <c r="R453">
        <v>1917.64</v>
      </c>
      <c r="S453">
        <v>0.15</v>
      </c>
      <c r="T453" s="12">
        <f>S453</f>
        <v>0.15</v>
      </c>
      <c r="U453">
        <v>13039.95</v>
      </c>
      <c r="V453">
        <f>Q453*R453*(1-S453)</f>
        <v>13039.952000000001</v>
      </c>
      <c r="W453">
        <v>11127.82</v>
      </c>
      <c r="X453">
        <v>1912.13</v>
      </c>
      <c r="Y453">
        <f>V453-W453</f>
        <v>1912.1320000000014</v>
      </c>
      <c r="Z453" s="12">
        <f>Y453/V453</f>
        <v>0.1466364293365498</v>
      </c>
      <c r="AA453" t="s">
        <v>32</v>
      </c>
      <c r="AB453" t="s">
        <v>68</v>
      </c>
      <c r="AC453" s="14" t="s">
        <v>2794</v>
      </c>
      <c r="AD453" t="s">
        <v>2782</v>
      </c>
      <c r="AE453" t="str">
        <f>PROPER(TRIM(AB453))</f>
        <v>Cancelled</v>
      </c>
      <c r="AS453" t="str">
        <f t="shared" si="9"/>
        <v/>
      </c>
    </row>
    <row r="454" spans="1:45">
      <c r="A454" t="s">
        <v>1454</v>
      </c>
      <c r="B454" s="7">
        <v>45422</v>
      </c>
      <c r="C454" s="4">
        <v>45428</v>
      </c>
      <c r="D454">
        <f>C454-B454</f>
        <v>6</v>
      </c>
      <c r="E454" t="str">
        <f>TEXT(B454,"mmmm")</f>
        <v>May</v>
      </c>
      <c r="F454">
        <f>YEAR(B454)</f>
        <v>2024</v>
      </c>
      <c r="G454" t="s">
        <v>1455</v>
      </c>
      <c r="H454" t="s">
        <v>162</v>
      </c>
      <c r="I454" t="s">
        <v>95</v>
      </c>
      <c r="J454" t="s">
        <v>38</v>
      </c>
      <c r="K454" t="s">
        <v>228</v>
      </c>
      <c r="L454" t="s">
        <v>229</v>
      </c>
      <c r="M454" t="s">
        <v>74</v>
      </c>
      <c r="N454" t="s">
        <v>75</v>
      </c>
      <c r="O454" t="s">
        <v>1456</v>
      </c>
      <c r="P454" t="s">
        <v>31</v>
      </c>
      <c r="Q454">
        <v>6</v>
      </c>
      <c r="R454">
        <v>2013.33</v>
      </c>
      <c r="S454">
        <v>0.2</v>
      </c>
      <c r="T454" s="12">
        <f>S454</f>
        <v>0.2</v>
      </c>
      <c r="U454">
        <v>9663.98</v>
      </c>
      <c r="V454">
        <f>Q454*R454*(1-S454)</f>
        <v>9663.9840000000004</v>
      </c>
      <c r="W454">
        <v>5628.93</v>
      </c>
      <c r="X454">
        <v>4035.05</v>
      </c>
      <c r="Y454">
        <f>V454-W454</f>
        <v>4035.0540000000001</v>
      </c>
      <c r="Z454" s="12">
        <f>Y454/V454</f>
        <v>0.41753525254180884</v>
      </c>
      <c r="AA454" t="s">
        <v>32</v>
      </c>
      <c r="AB454" t="s">
        <v>33</v>
      </c>
      <c r="AC454" s="14" t="s">
        <v>2794</v>
      </c>
      <c r="AD454" t="s">
        <v>2782</v>
      </c>
      <c r="AE454" t="str">
        <f>PROPER(TRIM(AB454))</f>
        <v>Completed</v>
      </c>
      <c r="AS454" t="str">
        <f t="shared" si="9"/>
        <v/>
      </c>
    </row>
    <row r="455" spans="1:45">
      <c r="A455" t="s">
        <v>1457</v>
      </c>
      <c r="B455" s="7">
        <v>45721</v>
      </c>
      <c r="C455" s="4">
        <v>45788</v>
      </c>
      <c r="D455">
        <f>C455-B455</f>
        <v>67</v>
      </c>
      <c r="E455" t="str">
        <f>TEXT(B455,"mmmm")</f>
        <v>March</v>
      </c>
      <c r="F455">
        <f>YEAR(B455)</f>
        <v>2025</v>
      </c>
      <c r="G455" t="s">
        <v>1458</v>
      </c>
      <c r="H455" t="s">
        <v>141</v>
      </c>
      <c r="I455" t="s">
        <v>37</v>
      </c>
      <c r="J455" t="s">
        <v>63</v>
      </c>
      <c r="K455" t="s">
        <v>72</v>
      </c>
      <c r="L455" t="s">
        <v>73</v>
      </c>
      <c r="M455" t="s">
        <v>28</v>
      </c>
      <c r="N455" t="s">
        <v>91</v>
      </c>
      <c r="O455" t="s">
        <v>1459</v>
      </c>
      <c r="P455" t="s">
        <v>44</v>
      </c>
      <c r="Q455">
        <v>5</v>
      </c>
      <c r="R455">
        <v>1483.52</v>
      </c>
      <c r="S455">
        <v>0</v>
      </c>
      <c r="T455" s="12">
        <f>S455</f>
        <v>0</v>
      </c>
      <c r="U455">
        <v>7417.6</v>
      </c>
      <c r="V455">
        <f>Q455*R455*(1-S455)</f>
        <v>7417.6</v>
      </c>
      <c r="W455">
        <v>4955.8599999999997</v>
      </c>
      <c r="X455">
        <v>2461.7399999999998</v>
      </c>
      <c r="Y455">
        <f>V455-W455</f>
        <v>2461.7400000000007</v>
      </c>
      <c r="Z455" s="12">
        <f>Y455/V455</f>
        <v>0.3318782355478862</v>
      </c>
      <c r="AA455" t="s">
        <v>32</v>
      </c>
      <c r="AB455" t="s">
        <v>33</v>
      </c>
      <c r="AC455" s="14" t="s">
        <v>2794</v>
      </c>
      <c r="AD455" t="s">
        <v>2782</v>
      </c>
      <c r="AE455" t="str">
        <f>PROPER(TRIM(AB455))</f>
        <v>Completed</v>
      </c>
      <c r="AS455" t="str">
        <f t="shared" si="9"/>
        <v/>
      </c>
    </row>
    <row r="456" spans="1:45">
      <c r="A456" t="s">
        <v>1460</v>
      </c>
      <c r="B456" s="7">
        <v>45739</v>
      </c>
      <c r="C456" s="4">
        <v>45744</v>
      </c>
      <c r="D456">
        <f>C456-B456</f>
        <v>5</v>
      </c>
      <c r="E456" t="str">
        <f>TEXT(B456,"mmmm")</f>
        <v>March</v>
      </c>
      <c r="F456">
        <f>YEAR(B456)</f>
        <v>2025</v>
      </c>
      <c r="G456" t="s">
        <v>1461</v>
      </c>
      <c r="H456" t="s">
        <v>71</v>
      </c>
      <c r="I456" t="s">
        <v>37</v>
      </c>
      <c r="J456" t="s">
        <v>25</v>
      </c>
      <c r="K456" t="s">
        <v>26</v>
      </c>
      <c r="L456" t="s">
        <v>27</v>
      </c>
      <c r="M456" t="s">
        <v>41</v>
      </c>
      <c r="N456" t="s">
        <v>57</v>
      </c>
      <c r="O456" t="s">
        <v>1462</v>
      </c>
      <c r="P456" t="s">
        <v>59</v>
      </c>
      <c r="Q456">
        <v>9</v>
      </c>
      <c r="R456">
        <v>3298</v>
      </c>
      <c r="S456">
        <v>0.15</v>
      </c>
      <c r="T456" s="12">
        <f>S456</f>
        <v>0.15</v>
      </c>
      <c r="U456">
        <v>25229.7</v>
      </c>
      <c r="V456">
        <f>Q456*R456*(1-S456)</f>
        <v>25229.7</v>
      </c>
      <c r="W456">
        <v>20170.43</v>
      </c>
      <c r="X456">
        <v>5059.2700000000004</v>
      </c>
      <c r="Y456">
        <f>V456-W456</f>
        <v>5059.2700000000004</v>
      </c>
      <c r="Z456" s="12">
        <f>Y456/V456</f>
        <v>0.20052834556098567</v>
      </c>
      <c r="AA456" t="s">
        <v>32</v>
      </c>
      <c r="AB456" t="s">
        <v>33</v>
      </c>
      <c r="AC456" s="14" t="s">
        <v>2794</v>
      </c>
      <c r="AD456" t="s">
        <v>2782</v>
      </c>
      <c r="AE456" t="str">
        <f>PROPER(TRIM(AB456))</f>
        <v>Completed</v>
      </c>
      <c r="AS456" t="str">
        <f t="shared" si="9"/>
        <v/>
      </c>
    </row>
    <row r="457" spans="1:45">
      <c r="A457" t="s">
        <v>1463</v>
      </c>
      <c r="B457" s="7">
        <v>45491</v>
      </c>
      <c r="C457" s="4">
        <v>45495</v>
      </c>
      <c r="D457">
        <f>C457-B457</f>
        <v>4</v>
      </c>
      <c r="E457" t="str">
        <f>TEXT(B457,"mmmm")</f>
        <v>July</v>
      </c>
      <c r="F457">
        <f>YEAR(B457)</f>
        <v>2024</v>
      </c>
      <c r="G457" t="s">
        <v>1464</v>
      </c>
      <c r="H457" t="s">
        <v>79</v>
      </c>
      <c r="I457" t="s">
        <v>37</v>
      </c>
      <c r="J457" t="s">
        <v>54</v>
      </c>
      <c r="K457" t="s">
        <v>55</v>
      </c>
      <c r="L457" t="s">
        <v>56</v>
      </c>
      <c r="M457" t="s">
        <v>28</v>
      </c>
      <c r="N457" t="s">
        <v>48</v>
      </c>
      <c r="O457" t="s">
        <v>1465</v>
      </c>
      <c r="P457" t="s">
        <v>59</v>
      </c>
      <c r="Q457">
        <v>4</v>
      </c>
      <c r="R457">
        <v>808.77</v>
      </c>
      <c r="S457">
        <v>0</v>
      </c>
      <c r="T457" s="12">
        <f>S457</f>
        <v>0</v>
      </c>
      <c r="U457">
        <v>3235.08</v>
      </c>
      <c r="V457">
        <f>Q457*R457*(1-S457)</f>
        <v>3235.08</v>
      </c>
      <c r="W457">
        <v>1848.6</v>
      </c>
      <c r="X457">
        <v>1386.48</v>
      </c>
      <c r="Y457">
        <f>V457-W457</f>
        <v>1386.48</v>
      </c>
      <c r="Z457" s="12">
        <f>Y457/V457</f>
        <v>0.42857672762342819</v>
      </c>
      <c r="AA457" t="s">
        <v>32</v>
      </c>
      <c r="AB457" t="s">
        <v>33</v>
      </c>
      <c r="AC457" s="14" t="s">
        <v>2794</v>
      </c>
      <c r="AD457" t="s">
        <v>2782</v>
      </c>
      <c r="AE457" t="str">
        <f>PROPER(TRIM(AB457))</f>
        <v>Completed</v>
      </c>
      <c r="AS457" t="str">
        <f t="shared" si="9"/>
        <v/>
      </c>
    </row>
    <row r="458" spans="1:45">
      <c r="A458" t="s">
        <v>1466</v>
      </c>
      <c r="B458" s="7">
        <v>45342</v>
      </c>
      <c r="C458" s="4">
        <v>45342</v>
      </c>
      <c r="D458">
        <f>C458-B458</f>
        <v>0</v>
      </c>
      <c r="E458" t="str">
        <f>TEXT(B458,"mmmm")</f>
        <v>February</v>
      </c>
      <c r="F458">
        <f>YEAR(B458)</f>
        <v>2024</v>
      </c>
      <c r="G458" t="s">
        <v>1467</v>
      </c>
      <c r="H458" t="s">
        <v>79</v>
      </c>
      <c r="I458" t="s">
        <v>90</v>
      </c>
      <c r="J458" t="s">
        <v>25</v>
      </c>
      <c r="K458" t="s">
        <v>136</v>
      </c>
      <c r="L458" t="s">
        <v>137</v>
      </c>
      <c r="M458" t="s">
        <v>74</v>
      </c>
      <c r="N458" t="s">
        <v>75</v>
      </c>
      <c r="O458" t="s">
        <v>1468</v>
      </c>
      <c r="P458" t="s">
        <v>44</v>
      </c>
      <c r="Q458">
        <v>5</v>
      </c>
      <c r="R458">
        <v>2604.91</v>
      </c>
      <c r="S458">
        <v>0.15</v>
      </c>
      <c r="T458" s="12">
        <f>S458</f>
        <v>0.15</v>
      </c>
      <c r="U458">
        <v>11070.87</v>
      </c>
      <c r="V458">
        <f>Q458*R458*(1-S458)</f>
        <v>11070.867499999998</v>
      </c>
      <c r="W458">
        <v>6623.61</v>
      </c>
      <c r="X458">
        <v>4447.26</v>
      </c>
      <c r="Y458">
        <f>V458-W458</f>
        <v>4447.2574999999988</v>
      </c>
      <c r="Z458" s="12">
        <f>Y458/V458</f>
        <v>0.40170813172499803</v>
      </c>
      <c r="AA458" t="s">
        <v>32</v>
      </c>
      <c r="AB458" t="s">
        <v>103</v>
      </c>
      <c r="AC458" s="14" t="s">
        <v>2794</v>
      </c>
      <c r="AD458" t="s">
        <v>2782</v>
      </c>
      <c r="AE458" t="str">
        <f>PROPER(TRIM(AB458))</f>
        <v>Returned</v>
      </c>
      <c r="AS458" t="str">
        <f t="shared" si="9"/>
        <v/>
      </c>
    </row>
    <row r="459" spans="1:45">
      <c r="A459" t="s">
        <v>1469</v>
      </c>
      <c r="B459" s="7">
        <v>45387</v>
      </c>
      <c r="C459" s="4">
        <v>45416</v>
      </c>
      <c r="D459">
        <f>C459-B459</f>
        <v>29</v>
      </c>
      <c r="E459" t="str">
        <f>TEXT(B459,"mmmm")</f>
        <v>April</v>
      </c>
      <c r="F459">
        <f>YEAR(B459)</f>
        <v>2024</v>
      </c>
      <c r="G459" t="s">
        <v>1470</v>
      </c>
      <c r="H459" t="s">
        <v>36</v>
      </c>
      <c r="I459" t="s">
        <v>37</v>
      </c>
      <c r="J459" t="s">
        <v>63</v>
      </c>
      <c r="K459" t="s">
        <v>190</v>
      </c>
      <c r="L459" t="s">
        <v>191</v>
      </c>
      <c r="M459" t="s">
        <v>41</v>
      </c>
      <c r="N459" t="s">
        <v>42</v>
      </c>
      <c r="O459" t="s">
        <v>1471</v>
      </c>
      <c r="P459" t="s">
        <v>59</v>
      </c>
      <c r="Q459">
        <v>7</v>
      </c>
      <c r="R459">
        <v>2851.51</v>
      </c>
      <c r="S459">
        <v>0</v>
      </c>
      <c r="T459" s="12">
        <f>S459</f>
        <v>0</v>
      </c>
      <c r="U459">
        <v>19960.57</v>
      </c>
      <c r="V459">
        <f>Q459*R459*(1-S459)</f>
        <v>19960.57</v>
      </c>
      <c r="W459">
        <v>16603.599999999999</v>
      </c>
      <c r="X459">
        <v>3356.97</v>
      </c>
      <c r="Y459">
        <f>V459-W459</f>
        <v>3356.9700000000012</v>
      </c>
      <c r="Z459" s="12">
        <f>Y459/V459</f>
        <v>0.1681800670020947</v>
      </c>
      <c r="AA459" t="s">
        <v>32</v>
      </c>
      <c r="AB459" t="s">
        <v>33</v>
      </c>
      <c r="AC459" s="14" t="s">
        <v>2794</v>
      </c>
      <c r="AD459" t="s">
        <v>2782</v>
      </c>
      <c r="AE459" t="str">
        <f>PROPER(TRIM(AB459))</f>
        <v>Completed</v>
      </c>
      <c r="AS459" t="str">
        <f t="shared" si="9"/>
        <v/>
      </c>
    </row>
    <row r="460" spans="1:45">
      <c r="A460" t="s">
        <v>1472</v>
      </c>
      <c r="B460" s="7">
        <v>45332</v>
      </c>
      <c r="C460" s="4">
        <v>45598</v>
      </c>
      <c r="D460">
        <f>C460-B460</f>
        <v>266</v>
      </c>
      <c r="E460" t="str">
        <f>TEXT(B460,"mmmm")</f>
        <v>February</v>
      </c>
      <c r="F460">
        <f>YEAR(B460)</f>
        <v>2024</v>
      </c>
      <c r="G460" t="s">
        <v>1473</v>
      </c>
      <c r="H460" t="s">
        <v>23</v>
      </c>
      <c r="I460" t="s">
        <v>90</v>
      </c>
      <c r="J460" t="s">
        <v>25</v>
      </c>
      <c r="K460" t="s">
        <v>26</v>
      </c>
      <c r="L460" t="s">
        <v>27</v>
      </c>
      <c r="M460" t="s">
        <v>74</v>
      </c>
      <c r="N460" t="s">
        <v>171</v>
      </c>
      <c r="O460" t="s">
        <v>1474</v>
      </c>
      <c r="P460" t="s">
        <v>31</v>
      </c>
      <c r="Q460">
        <v>3</v>
      </c>
      <c r="R460">
        <v>3183.72</v>
      </c>
      <c r="S460">
        <v>0.1</v>
      </c>
      <c r="T460" s="12">
        <f>S460</f>
        <v>0.1</v>
      </c>
      <c r="U460">
        <v>8596.0400000000009</v>
      </c>
      <c r="V460">
        <f>Q460*R460*(1-S460)</f>
        <v>8596.0439999999999</v>
      </c>
      <c r="W460">
        <v>5378.16</v>
      </c>
      <c r="X460">
        <v>3217.88</v>
      </c>
      <c r="Y460">
        <f>V460-W460</f>
        <v>3217.884</v>
      </c>
      <c r="Z460" s="12">
        <f>Y460/V460</f>
        <v>0.37434475672762962</v>
      </c>
      <c r="AA460" t="s">
        <v>32</v>
      </c>
      <c r="AB460" t="s">
        <v>33</v>
      </c>
      <c r="AC460" s="14" t="s">
        <v>2794</v>
      </c>
      <c r="AD460" t="s">
        <v>2782</v>
      </c>
      <c r="AE460" t="str">
        <f>PROPER(TRIM(AB460))</f>
        <v>Completed</v>
      </c>
      <c r="AS460" t="str">
        <f t="shared" si="9"/>
        <v/>
      </c>
    </row>
    <row r="461" spans="1:45">
      <c r="A461" t="s">
        <v>1475</v>
      </c>
      <c r="B461" s="7">
        <v>45379</v>
      </c>
      <c r="C461" s="4">
        <v>45386</v>
      </c>
      <c r="D461">
        <f>C461-B461</f>
        <v>7</v>
      </c>
      <c r="E461" t="str">
        <f>TEXT(B461,"mmmm")</f>
        <v>March</v>
      </c>
      <c r="F461">
        <f>YEAR(B461)</f>
        <v>2024</v>
      </c>
      <c r="G461" t="s">
        <v>1476</v>
      </c>
      <c r="H461" t="s">
        <v>62</v>
      </c>
      <c r="I461" t="s">
        <v>95</v>
      </c>
      <c r="J461" t="s">
        <v>63</v>
      </c>
      <c r="K461" t="s">
        <v>190</v>
      </c>
      <c r="L461" t="s">
        <v>191</v>
      </c>
      <c r="M461" t="s">
        <v>28</v>
      </c>
      <c r="N461" t="s">
        <v>29</v>
      </c>
      <c r="O461" t="s">
        <v>1477</v>
      </c>
      <c r="P461" t="s">
        <v>50</v>
      </c>
      <c r="Q461">
        <v>3</v>
      </c>
      <c r="R461">
        <v>1150.92</v>
      </c>
      <c r="S461">
        <v>0</v>
      </c>
      <c r="T461" s="12">
        <f>S461</f>
        <v>0</v>
      </c>
      <c r="U461">
        <v>3452.76</v>
      </c>
      <c r="V461">
        <f>Q461*R461*(1-S461)</f>
        <v>3452.76</v>
      </c>
      <c r="W461">
        <v>2077.96</v>
      </c>
      <c r="X461">
        <v>1374.8</v>
      </c>
      <c r="Y461">
        <f>V461-W461</f>
        <v>1374.8000000000002</v>
      </c>
      <c r="Z461" s="12">
        <f>Y461/V461</f>
        <v>0.39817421425178701</v>
      </c>
      <c r="AA461" t="s">
        <v>32</v>
      </c>
      <c r="AB461" t="s">
        <v>33</v>
      </c>
      <c r="AC461" s="14" t="s">
        <v>2794</v>
      </c>
      <c r="AD461" t="s">
        <v>2782</v>
      </c>
      <c r="AE461" t="str">
        <f>PROPER(TRIM(AB461))</f>
        <v>Completed</v>
      </c>
      <c r="AS461" t="str">
        <f t="shared" si="9"/>
        <v/>
      </c>
    </row>
    <row r="462" spans="1:45">
      <c r="A462" t="s">
        <v>1478</v>
      </c>
      <c r="B462" s="7">
        <v>45930</v>
      </c>
      <c r="C462" s="4">
        <v>45936</v>
      </c>
      <c r="D462">
        <f>C462-B462</f>
        <v>6</v>
      </c>
      <c r="E462" t="str">
        <f>TEXT(B462,"mmmm")</f>
        <v>September</v>
      </c>
      <c r="F462">
        <f>YEAR(B462)</f>
        <v>2025</v>
      </c>
      <c r="G462" t="s">
        <v>1479</v>
      </c>
      <c r="H462" t="s">
        <v>128</v>
      </c>
      <c r="I462" t="s">
        <v>90</v>
      </c>
      <c r="J462" t="s">
        <v>2783</v>
      </c>
      <c r="K462" t="s">
        <v>26</v>
      </c>
      <c r="L462" t="s">
        <v>27</v>
      </c>
      <c r="M462" t="s">
        <v>74</v>
      </c>
      <c r="N462" t="s">
        <v>80</v>
      </c>
      <c r="O462" t="s">
        <v>1480</v>
      </c>
      <c r="P462" t="s">
        <v>31</v>
      </c>
      <c r="Q462">
        <v>9</v>
      </c>
      <c r="R462">
        <v>1359.88</v>
      </c>
      <c r="S462">
        <v>0.05</v>
      </c>
      <c r="T462" s="12">
        <f>S462</f>
        <v>0.05</v>
      </c>
      <c r="U462">
        <v>11626.97</v>
      </c>
      <c r="V462">
        <f>Q462*R462*(1-S462)</f>
        <v>11626.974000000002</v>
      </c>
      <c r="W462">
        <v>7394.07</v>
      </c>
      <c r="X462">
        <v>4232.8999999999996</v>
      </c>
      <c r="Y462">
        <f>V462-W462</f>
        <v>4232.9040000000023</v>
      </c>
      <c r="Z462" s="12">
        <f>Y462/V462</f>
        <v>0.36405895463428417</v>
      </c>
      <c r="AA462" t="s">
        <v>32</v>
      </c>
      <c r="AB462" t="s">
        <v>33</v>
      </c>
      <c r="AC462" s="10" t="s">
        <v>2796</v>
      </c>
      <c r="AD462" t="s">
        <v>2782</v>
      </c>
      <c r="AE462" t="str">
        <f>PROPER(TRIM(AB462))</f>
        <v>Completed</v>
      </c>
      <c r="AS462" t="str">
        <f t="shared" si="9"/>
        <v/>
      </c>
    </row>
    <row r="463" spans="1:45">
      <c r="A463" t="s">
        <v>1481</v>
      </c>
      <c r="B463" s="7">
        <v>45802</v>
      </c>
      <c r="C463" s="4">
        <v>45803</v>
      </c>
      <c r="D463">
        <f>C463-B463</f>
        <v>1</v>
      </c>
      <c r="E463" t="str">
        <f>TEXT(B463,"mmmm")</f>
        <v>May</v>
      </c>
      <c r="F463">
        <f>YEAR(B463)</f>
        <v>2025</v>
      </c>
      <c r="G463" t="s">
        <v>1482</v>
      </c>
      <c r="H463" t="s">
        <v>79</v>
      </c>
      <c r="I463" t="s">
        <v>90</v>
      </c>
      <c r="J463" t="s">
        <v>54</v>
      </c>
      <c r="K463" t="s">
        <v>84</v>
      </c>
      <c r="L463" t="s">
        <v>85</v>
      </c>
      <c r="M463" t="s">
        <v>28</v>
      </c>
      <c r="N463" t="s">
        <v>29</v>
      </c>
      <c r="O463" t="s">
        <v>1483</v>
      </c>
      <c r="P463" t="s">
        <v>59</v>
      </c>
      <c r="Q463">
        <v>3</v>
      </c>
      <c r="R463">
        <v>3378.15</v>
      </c>
      <c r="S463">
        <v>0.15</v>
      </c>
      <c r="T463" s="12">
        <f>S463</f>
        <v>0.15</v>
      </c>
      <c r="U463">
        <v>8614.2800000000007</v>
      </c>
      <c r="V463">
        <f>Q463*R463*(1-S463)</f>
        <v>8614.2825000000012</v>
      </c>
      <c r="W463">
        <v>7052.08</v>
      </c>
      <c r="X463">
        <v>1562.2</v>
      </c>
      <c r="Y463">
        <f>V463-W463</f>
        <v>1562.2025000000012</v>
      </c>
      <c r="Z463" s="12">
        <f>Y463/V463</f>
        <v>0.18135027496486225</v>
      </c>
      <c r="AA463" t="s">
        <v>32</v>
      </c>
      <c r="AB463" t="s">
        <v>33</v>
      </c>
      <c r="AC463" s="14" t="s">
        <v>2794</v>
      </c>
      <c r="AD463" t="s">
        <v>2782</v>
      </c>
      <c r="AE463" t="str">
        <f>PROPER(TRIM(AB463))</f>
        <v>Completed</v>
      </c>
      <c r="AS463" t="str">
        <f t="shared" si="9"/>
        <v/>
      </c>
    </row>
    <row r="464" spans="1:45">
      <c r="A464" t="s">
        <v>1484</v>
      </c>
      <c r="B464" s="7">
        <v>45558</v>
      </c>
      <c r="C464" s="4">
        <v>45560</v>
      </c>
      <c r="D464">
        <f>C464-B464</f>
        <v>2</v>
      </c>
      <c r="E464" t="str">
        <f>TEXT(B464,"mmmm")</f>
        <v>September</v>
      </c>
      <c r="F464">
        <f>YEAR(B464)</f>
        <v>2024</v>
      </c>
      <c r="G464" t="s">
        <v>1485</v>
      </c>
      <c r="H464" t="s">
        <v>128</v>
      </c>
      <c r="I464" t="s">
        <v>95</v>
      </c>
      <c r="J464" t="s">
        <v>25</v>
      </c>
      <c r="K464" t="s">
        <v>350</v>
      </c>
      <c r="L464" t="s">
        <v>351</v>
      </c>
      <c r="M464" t="s">
        <v>28</v>
      </c>
      <c r="N464" t="s">
        <v>153</v>
      </c>
      <c r="O464" t="s">
        <v>1486</v>
      </c>
      <c r="P464" t="s">
        <v>50</v>
      </c>
      <c r="Q464">
        <v>2</v>
      </c>
      <c r="R464">
        <v>1275.1400000000001</v>
      </c>
      <c r="S464">
        <v>0.2</v>
      </c>
      <c r="T464" s="12">
        <f>S464</f>
        <v>0.2</v>
      </c>
      <c r="U464">
        <v>2040.22</v>
      </c>
      <c r="V464">
        <f>Q464*R464*(1-S464)</f>
        <v>2040.2240000000002</v>
      </c>
      <c r="W464">
        <v>1395.71</v>
      </c>
      <c r="X464">
        <v>644.51</v>
      </c>
      <c r="Y464">
        <f>V464-W464</f>
        <v>644.51400000000012</v>
      </c>
      <c r="Z464" s="12">
        <f>Y464/V464</f>
        <v>0.31590354784572677</v>
      </c>
      <c r="AA464" t="s">
        <v>32</v>
      </c>
      <c r="AB464" t="s">
        <v>33</v>
      </c>
      <c r="AC464" s="14" t="s">
        <v>2794</v>
      </c>
      <c r="AD464" t="s">
        <v>2782</v>
      </c>
      <c r="AE464" t="str">
        <f>PROPER(TRIM(AB464))</f>
        <v>Completed</v>
      </c>
      <c r="AS464" t="str">
        <f t="shared" si="9"/>
        <v/>
      </c>
    </row>
    <row r="465" spans="1:45">
      <c r="A465" t="s">
        <v>1487</v>
      </c>
      <c r="B465" s="7">
        <v>45695</v>
      </c>
      <c r="C465" s="4">
        <v>45696</v>
      </c>
      <c r="D465">
        <f>C465-B465</f>
        <v>1</v>
      </c>
      <c r="E465" t="str">
        <f>TEXT(B465,"mmmm")</f>
        <v>February</v>
      </c>
      <c r="F465">
        <f>YEAR(B465)</f>
        <v>2025</v>
      </c>
      <c r="G465" t="s">
        <v>1488</v>
      </c>
      <c r="H465" t="s">
        <v>53</v>
      </c>
      <c r="I465" t="s">
        <v>90</v>
      </c>
      <c r="J465" t="s">
        <v>63</v>
      </c>
      <c r="K465" t="s">
        <v>72</v>
      </c>
      <c r="L465" t="s">
        <v>73</v>
      </c>
      <c r="M465" t="s">
        <v>74</v>
      </c>
      <c r="N465" t="s">
        <v>171</v>
      </c>
      <c r="O465" t="s">
        <v>1489</v>
      </c>
      <c r="P465" t="s">
        <v>59</v>
      </c>
      <c r="Q465">
        <v>4</v>
      </c>
      <c r="R465">
        <v>889.5</v>
      </c>
      <c r="S465">
        <v>0.2</v>
      </c>
      <c r="T465" s="12">
        <f>S465</f>
        <v>0.2</v>
      </c>
      <c r="U465">
        <v>2846.4</v>
      </c>
      <c r="V465">
        <f>Q465*R465*(1-S465)</f>
        <v>2846.4</v>
      </c>
      <c r="W465">
        <v>2132.37</v>
      </c>
      <c r="X465">
        <v>714.03</v>
      </c>
      <c r="Y465">
        <f>V465-W465</f>
        <v>714.0300000000002</v>
      </c>
      <c r="Z465" s="12">
        <f>Y465/V465</f>
        <v>0.25085370994940986</v>
      </c>
      <c r="AA465" t="s">
        <v>32</v>
      </c>
      <c r="AB465" t="s">
        <v>33</v>
      </c>
      <c r="AC465" s="14" t="s">
        <v>2794</v>
      </c>
      <c r="AD465" t="s">
        <v>2782</v>
      </c>
      <c r="AE465" t="str">
        <f>PROPER(TRIM(AB465))</f>
        <v>Completed</v>
      </c>
      <c r="AS465" t="str">
        <f t="shared" si="9"/>
        <v/>
      </c>
    </row>
    <row r="466" spans="1:45">
      <c r="A466" t="s">
        <v>1490</v>
      </c>
      <c r="B466" s="7">
        <v>45727</v>
      </c>
      <c r="C466" s="4">
        <v>45731</v>
      </c>
      <c r="D466">
        <f>C466-B466</f>
        <v>4</v>
      </c>
      <c r="E466" t="str">
        <f>TEXT(B466,"mmmm")</f>
        <v>March</v>
      </c>
      <c r="F466">
        <f>YEAR(B466)</f>
        <v>2025</v>
      </c>
      <c r="G466" t="s">
        <v>1491</v>
      </c>
      <c r="H466" t="s">
        <v>53</v>
      </c>
      <c r="I466" t="s">
        <v>90</v>
      </c>
      <c r="J466" t="s">
        <v>38</v>
      </c>
      <c r="K466" t="s">
        <v>145</v>
      </c>
      <c r="L466" t="s">
        <v>146</v>
      </c>
      <c r="M466" t="s">
        <v>28</v>
      </c>
      <c r="N466" t="s">
        <v>29</v>
      </c>
      <c r="O466" t="s">
        <v>1492</v>
      </c>
      <c r="P466" t="s">
        <v>44</v>
      </c>
      <c r="Q466">
        <v>3</v>
      </c>
      <c r="R466">
        <v>3625.08</v>
      </c>
      <c r="S466">
        <v>0.05</v>
      </c>
      <c r="T466" s="12">
        <f>S466</f>
        <v>0.05</v>
      </c>
      <c r="U466">
        <v>10331.48</v>
      </c>
      <c r="V466">
        <f>Q466*R466*(1-S466)</f>
        <v>10331.477999999999</v>
      </c>
      <c r="W466">
        <v>7131.91</v>
      </c>
      <c r="X466">
        <v>3199.57</v>
      </c>
      <c r="Y466">
        <f>V466-W466</f>
        <v>3199.5679999999993</v>
      </c>
      <c r="Z466" s="12">
        <f>Y466/V466</f>
        <v>0.30969121746181905</v>
      </c>
      <c r="AA466" t="s">
        <v>111</v>
      </c>
      <c r="AB466" t="s">
        <v>68</v>
      </c>
      <c r="AC466" s="14" t="s">
        <v>2794</v>
      </c>
      <c r="AD466" t="s">
        <v>2782</v>
      </c>
      <c r="AE466" t="str">
        <f>PROPER(TRIM(AB466))</f>
        <v>Cancelled</v>
      </c>
      <c r="AS466" t="str">
        <f t="shared" si="9"/>
        <v/>
      </c>
    </row>
    <row r="467" spans="1:45">
      <c r="A467" t="s">
        <v>1493</v>
      </c>
      <c r="B467" s="7">
        <v>45320</v>
      </c>
      <c r="C467" s="4">
        <v>45328</v>
      </c>
      <c r="D467">
        <f>C467-B467</f>
        <v>8</v>
      </c>
      <c r="E467" t="str">
        <f>TEXT(B467,"mmmm")</f>
        <v>January</v>
      </c>
      <c r="F467">
        <f>YEAR(B467)</f>
        <v>2024</v>
      </c>
      <c r="G467" t="s">
        <v>1494</v>
      </c>
      <c r="H467" t="s">
        <v>128</v>
      </c>
      <c r="I467" t="s">
        <v>37</v>
      </c>
      <c r="J467" t="s">
        <v>63</v>
      </c>
      <c r="K467" t="s">
        <v>72</v>
      </c>
      <c r="L467" t="s">
        <v>73</v>
      </c>
      <c r="M467" t="s">
        <v>28</v>
      </c>
      <c r="N467" t="s">
        <v>91</v>
      </c>
      <c r="O467" t="s">
        <v>1495</v>
      </c>
      <c r="P467" t="s">
        <v>59</v>
      </c>
      <c r="Q467">
        <v>2</v>
      </c>
      <c r="R467">
        <v>1258.9000000000001</v>
      </c>
      <c r="S467">
        <v>0</v>
      </c>
      <c r="T467" s="12">
        <f>S467</f>
        <v>0</v>
      </c>
      <c r="U467">
        <v>2517.8000000000002</v>
      </c>
      <c r="V467">
        <f>Q467*R467*(1-S467)</f>
        <v>2517.8000000000002</v>
      </c>
      <c r="W467">
        <v>1478.54</v>
      </c>
      <c r="X467">
        <v>1039.26</v>
      </c>
      <c r="Y467">
        <f>V467-W467</f>
        <v>1039.2600000000002</v>
      </c>
      <c r="Z467" s="12">
        <f>Y467/V467</f>
        <v>0.41276511239971408</v>
      </c>
      <c r="AA467" t="s">
        <v>32</v>
      </c>
      <c r="AB467" t="s">
        <v>33</v>
      </c>
      <c r="AC467" s="14" t="s">
        <v>2794</v>
      </c>
      <c r="AD467" t="s">
        <v>2782</v>
      </c>
      <c r="AE467" t="str">
        <f>PROPER(TRIM(AB467))</f>
        <v>Completed</v>
      </c>
      <c r="AS467" t="str">
        <f t="shared" si="9"/>
        <v/>
      </c>
    </row>
    <row r="468" spans="1:45">
      <c r="A468" t="s">
        <v>1496</v>
      </c>
      <c r="B468" s="7">
        <v>45295</v>
      </c>
      <c r="C468" s="4">
        <v>45505</v>
      </c>
      <c r="D468">
        <f>C468-B468</f>
        <v>210</v>
      </c>
      <c r="E468" t="str">
        <f>TEXT(B468,"mmmm")</f>
        <v>January</v>
      </c>
      <c r="F468">
        <f>YEAR(B468)</f>
        <v>2024</v>
      </c>
      <c r="G468" t="s">
        <v>1497</v>
      </c>
      <c r="H468" t="s">
        <v>36</v>
      </c>
      <c r="I468" t="s">
        <v>37</v>
      </c>
      <c r="J468" t="s">
        <v>38</v>
      </c>
      <c r="K468" t="s">
        <v>145</v>
      </c>
      <c r="L468" t="s">
        <v>146</v>
      </c>
      <c r="M468" t="s">
        <v>74</v>
      </c>
      <c r="N468" t="s">
        <v>75</v>
      </c>
      <c r="O468" t="s">
        <v>1498</v>
      </c>
      <c r="P468" t="s">
        <v>44</v>
      </c>
      <c r="Q468">
        <v>9</v>
      </c>
      <c r="R468">
        <v>1591.96</v>
      </c>
      <c r="S468">
        <v>0.2</v>
      </c>
      <c r="T468" s="12">
        <f>S468</f>
        <v>0.2</v>
      </c>
      <c r="U468">
        <v>11462.11</v>
      </c>
      <c r="V468">
        <f>Q468*R468*(1-S468)</f>
        <v>11462.112000000001</v>
      </c>
      <c r="W468">
        <v>7105.48</v>
      </c>
      <c r="X468">
        <v>4356.63</v>
      </c>
      <c r="Y468">
        <f>V468-W468</f>
        <v>4356.6320000000014</v>
      </c>
      <c r="Z468" s="12">
        <f>Y468/V468</f>
        <v>0.38008981241851425</v>
      </c>
      <c r="AA468" t="s">
        <v>32</v>
      </c>
      <c r="AB468" t="s">
        <v>33</v>
      </c>
      <c r="AC468" s="14" t="s">
        <v>2794</v>
      </c>
      <c r="AD468" t="s">
        <v>2782</v>
      </c>
      <c r="AE468" t="str">
        <f>PROPER(TRIM(AB468))</f>
        <v>Completed</v>
      </c>
      <c r="AS468" t="str">
        <f t="shared" si="9"/>
        <v/>
      </c>
    </row>
    <row r="469" spans="1:45">
      <c r="A469" t="s">
        <v>1499</v>
      </c>
      <c r="B469" s="7">
        <v>45524</v>
      </c>
      <c r="C469" s="4">
        <v>45525</v>
      </c>
      <c r="D469">
        <f>C469-B469</f>
        <v>1</v>
      </c>
      <c r="E469" t="str">
        <f>TEXT(B469,"mmmm")</f>
        <v>August</v>
      </c>
      <c r="F469">
        <f>YEAR(B469)</f>
        <v>2024</v>
      </c>
      <c r="G469" t="s">
        <v>1500</v>
      </c>
      <c r="H469" t="s">
        <v>89</v>
      </c>
      <c r="I469" t="s">
        <v>90</v>
      </c>
      <c r="J469" t="s">
        <v>38</v>
      </c>
      <c r="K469" t="s">
        <v>39</v>
      </c>
      <c r="L469" t="s">
        <v>40</v>
      </c>
      <c r="M469" t="s">
        <v>74</v>
      </c>
      <c r="N469" t="s">
        <v>80</v>
      </c>
      <c r="O469" t="s">
        <v>1501</v>
      </c>
      <c r="P469" t="s">
        <v>50</v>
      </c>
      <c r="Q469">
        <v>5</v>
      </c>
      <c r="R469">
        <v>4288.33</v>
      </c>
      <c r="S469">
        <v>0.1</v>
      </c>
      <c r="T469" s="12">
        <f>S469</f>
        <v>0.1</v>
      </c>
      <c r="U469">
        <v>19297.490000000002</v>
      </c>
      <c r="V469">
        <f>Q469*R469*(1-S469)</f>
        <v>19297.485000000001</v>
      </c>
      <c r="W469">
        <v>15451.66</v>
      </c>
      <c r="X469">
        <v>3845.83</v>
      </c>
      <c r="Y469">
        <f>V469-W469</f>
        <v>3845.8250000000007</v>
      </c>
      <c r="Z469" s="12">
        <f>Y469/V469</f>
        <v>0.1992915138941681</v>
      </c>
      <c r="AA469" t="s">
        <v>102</v>
      </c>
      <c r="AB469" t="s">
        <v>68</v>
      </c>
      <c r="AC469" s="14" t="s">
        <v>2794</v>
      </c>
      <c r="AD469" t="s">
        <v>2782</v>
      </c>
      <c r="AE469" t="str">
        <f>PROPER(TRIM(AB469))</f>
        <v>Cancelled</v>
      </c>
      <c r="AS469" t="str">
        <f t="shared" si="9"/>
        <v/>
      </c>
    </row>
    <row r="470" spans="1:45">
      <c r="A470" t="s">
        <v>1502</v>
      </c>
      <c r="B470" s="7">
        <v>45666</v>
      </c>
      <c r="C470" s="4">
        <v>45664</v>
      </c>
      <c r="D470" s="10">
        <f>C470-B470</f>
        <v>-2</v>
      </c>
      <c r="E470" t="str">
        <f>TEXT(B470,"mmmm")</f>
        <v>January</v>
      </c>
      <c r="F470">
        <f>YEAR(B470)</f>
        <v>2025</v>
      </c>
      <c r="G470" t="s">
        <v>1503</v>
      </c>
      <c r="H470" t="s">
        <v>128</v>
      </c>
      <c r="I470" t="s">
        <v>95</v>
      </c>
      <c r="J470" t="s">
        <v>38</v>
      </c>
      <c r="K470" t="s">
        <v>99</v>
      </c>
      <c r="L470" t="s">
        <v>100</v>
      </c>
      <c r="M470" t="s">
        <v>28</v>
      </c>
      <c r="N470" t="s">
        <v>153</v>
      </c>
      <c r="O470" t="s">
        <v>1504</v>
      </c>
      <c r="P470" t="s">
        <v>31</v>
      </c>
      <c r="Q470">
        <v>3</v>
      </c>
      <c r="R470">
        <v>2188.33</v>
      </c>
      <c r="S470">
        <v>0</v>
      </c>
      <c r="T470" s="12">
        <f>S470</f>
        <v>0</v>
      </c>
      <c r="U470">
        <v>6564.99</v>
      </c>
      <c r="V470">
        <f>Q470*R470*(1-S470)</f>
        <v>6564.99</v>
      </c>
      <c r="W470">
        <v>5407.24</v>
      </c>
      <c r="X470">
        <v>1157.75</v>
      </c>
      <c r="Y470">
        <f>V470-W470</f>
        <v>1157.75</v>
      </c>
      <c r="Z470" s="12">
        <f>Y470/V470</f>
        <v>0.17635213458055535</v>
      </c>
      <c r="AA470" t="s">
        <v>32</v>
      </c>
      <c r="AB470" t="s">
        <v>33</v>
      </c>
      <c r="AC470" s="10" t="s">
        <v>2792</v>
      </c>
      <c r="AD470" t="s">
        <v>2782</v>
      </c>
      <c r="AE470" t="str">
        <f>PROPER(TRIM(AB470))</f>
        <v>Completed</v>
      </c>
      <c r="AS470" t="str">
        <f t="shared" si="9"/>
        <v/>
      </c>
    </row>
    <row r="471" spans="1:45">
      <c r="A471" t="s">
        <v>1505</v>
      </c>
      <c r="B471" s="7">
        <v>45310</v>
      </c>
      <c r="C471" s="4">
        <v>45316</v>
      </c>
      <c r="D471">
        <f>C471-B471</f>
        <v>6</v>
      </c>
      <c r="E471" t="str">
        <f>TEXT(B471,"mmmm")</f>
        <v>January</v>
      </c>
      <c r="F471">
        <f>YEAR(B471)</f>
        <v>2024</v>
      </c>
      <c r="G471" t="s">
        <v>1506</v>
      </c>
      <c r="H471" t="s">
        <v>89</v>
      </c>
      <c r="I471" t="s">
        <v>90</v>
      </c>
      <c r="J471" t="s">
        <v>63</v>
      </c>
      <c r="K471" t="s">
        <v>190</v>
      </c>
      <c r="L471" t="s">
        <v>191</v>
      </c>
      <c r="M471" t="s">
        <v>74</v>
      </c>
      <c r="N471" t="s">
        <v>80</v>
      </c>
      <c r="O471" t="s">
        <v>1507</v>
      </c>
      <c r="P471" t="s">
        <v>50</v>
      </c>
      <c r="Q471">
        <v>3</v>
      </c>
      <c r="R471">
        <v>1041.6600000000001</v>
      </c>
      <c r="S471">
        <v>0.1</v>
      </c>
      <c r="T471" s="12">
        <f>S471</f>
        <v>0.1</v>
      </c>
      <c r="U471">
        <v>2812.48</v>
      </c>
      <c r="V471">
        <f>Q471*R471*(1-S471)</f>
        <v>2812.4820000000004</v>
      </c>
      <c r="W471">
        <v>2282.12</v>
      </c>
      <c r="X471">
        <v>530.36</v>
      </c>
      <c r="Y471">
        <f>V471-W471</f>
        <v>530.36200000000053</v>
      </c>
      <c r="Z471" s="12">
        <f>Y471/V471</f>
        <v>0.18857436243147527</v>
      </c>
      <c r="AA471" t="s">
        <v>32</v>
      </c>
      <c r="AB471" t="s">
        <v>33</v>
      </c>
      <c r="AC471" s="14" t="s">
        <v>2794</v>
      </c>
      <c r="AD471" t="s">
        <v>2782</v>
      </c>
      <c r="AE471" t="str">
        <f>PROPER(TRIM(AB471))</f>
        <v>Completed</v>
      </c>
      <c r="AS471" t="str">
        <f t="shared" si="9"/>
        <v/>
      </c>
    </row>
    <row r="472" spans="1:45">
      <c r="A472" t="s">
        <v>1508</v>
      </c>
      <c r="B472" s="7">
        <v>45501</v>
      </c>
      <c r="C472" s="4">
        <v>45504</v>
      </c>
      <c r="D472">
        <f>C472-B472</f>
        <v>3</v>
      </c>
      <c r="E472" t="str">
        <f>TEXT(B472,"mmmm")</f>
        <v>July</v>
      </c>
      <c r="F472">
        <f>YEAR(B472)</f>
        <v>2024</v>
      </c>
      <c r="G472" t="s">
        <v>1509</v>
      </c>
      <c r="H472" t="s">
        <v>89</v>
      </c>
      <c r="I472" t="s">
        <v>24</v>
      </c>
      <c r="J472" t="s">
        <v>25</v>
      </c>
      <c r="K472" t="s">
        <v>26</v>
      </c>
      <c r="L472" t="s">
        <v>27</v>
      </c>
      <c r="M472" t="s">
        <v>41</v>
      </c>
      <c r="N472" t="s">
        <v>42</v>
      </c>
      <c r="O472" t="s">
        <v>1510</v>
      </c>
      <c r="P472" t="s">
        <v>44</v>
      </c>
      <c r="Q472">
        <v>2</v>
      </c>
      <c r="R472">
        <v>4424.78</v>
      </c>
      <c r="S472">
        <v>0.2</v>
      </c>
      <c r="T472" s="12">
        <f>S472</f>
        <v>0.2</v>
      </c>
      <c r="U472">
        <v>7079.65</v>
      </c>
      <c r="V472">
        <f>Q472*R472*(1-S472)</f>
        <v>7079.6480000000001</v>
      </c>
      <c r="W472">
        <v>4465.91</v>
      </c>
      <c r="X472">
        <v>2613.7399999999998</v>
      </c>
      <c r="Y472">
        <f>V472-W472</f>
        <v>2613.7380000000003</v>
      </c>
      <c r="Z472" s="12">
        <f>Y472/V472</f>
        <v>0.36919038912669105</v>
      </c>
      <c r="AA472" t="s">
        <v>32</v>
      </c>
      <c r="AB472" t="s">
        <v>33</v>
      </c>
      <c r="AC472" s="14" t="s">
        <v>2794</v>
      </c>
      <c r="AD472" t="s">
        <v>2782</v>
      </c>
      <c r="AE472" t="str">
        <f>PROPER(TRIM(AB472))</f>
        <v>Completed</v>
      </c>
      <c r="AS472" t="str">
        <f t="shared" si="9"/>
        <v/>
      </c>
    </row>
    <row r="473" spans="1:45">
      <c r="A473" t="s">
        <v>1511</v>
      </c>
      <c r="B473" s="7">
        <v>45333</v>
      </c>
      <c r="C473" s="4">
        <v>45337</v>
      </c>
      <c r="D473">
        <f>C473-B473</f>
        <v>4</v>
      </c>
      <c r="E473" t="str">
        <f>TEXT(B473,"mmmm")</f>
        <v>February</v>
      </c>
      <c r="F473">
        <f>YEAR(B473)</f>
        <v>2024</v>
      </c>
      <c r="G473" t="s">
        <v>1512</v>
      </c>
      <c r="H473" t="s">
        <v>264</v>
      </c>
      <c r="I473" t="s">
        <v>24</v>
      </c>
      <c r="J473" t="s">
        <v>54</v>
      </c>
      <c r="K473" t="s">
        <v>55</v>
      </c>
      <c r="L473" t="s">
        <v>56</v>
      </c>
      <c r="M473" t="s">
        <v>28</v>
      </c>
      <c r="N473" t="s">
        <v>153</v>
      </c>
      <c r="O473" t="s">
        <v>1513</v>
      </c>
      <c r="P473" t="s">
        <v>59</v>
      </c>
      <c r="Q473">
        <v>3</v>
      </c>
      <c r="R473">
        <v>3019.14</v>
      </c>
      <c r="S473">
        <v>0.25</v>
      </c>
      <c r="T473" s="12">
        <f>S473</f>
        <v>0.25</v>
      </c>
      <c r="U473">
        <v>6793.07</v>
      </c>
      <c r="V473">
        <f>Q473*R473*(1-S473)</f>
        <v>6793.0650000000005</v>
      </c>
      <c r="W473">
        <v>4985.22</v>
      </c>
      <c r="X473">
        <v>1807.85</v>
      </c>
      <c r="Y473">
        <f>V473-W473</f>
        <v>1807.8450000000003</v>
      </c>
      <c r="Z473" s="12">
        <f>Y473/V473</f>
        <v>0.26613097327936652</v>
      </c>
      <c r="AA473" t="s">
        <v>32</v>
      </c>
      <c r="AB473" t="s">
        <v>33</v>
      </c>
      <c r="AC473" s="14" t="s">
        <v>2794</v>
      </c>
      <c r="AD473" t="s">
        <v>2782</v>
      </c>
      <c r="AE473" t="str">
        <f>PROPER(TRIM(AB473))</f>
        <v>Completed</v>
      </c>
      <c r="AS473" t="str">
        <f t="shared" si="9"/>
        <v/>
      </c>
    </row>
    <row r="474" spans="1:45">
      <c r="A474" t="s">
        <v>1514</v>
      </c>
      <c r="B474" s="7">
        <v>45353</v>
      </c>
      <c r="C474" s="4">
        <v>45476</v>
      </c>
      <c r="D474">
        <f>C474-B474</f>
        <v>123</v>
      </c>
      <c r="E474" t="str">
        <f>TEXT(B474,"mmmm")</f>
        <v>March</v>
      </c>
      <c r="F474">
        <f>YEAR(B474)</f>
        <v>2024</v>
      </c>
      <c r="G474" t="s">
        <v>1515</v>
      </c>
      <c r="H474" t="s">
        <v>141</v>
      </c>
      <c r="I474" t="s">
        <v>90</v>
      </c>
      <c r="J474" t="s">
        <v>38</v>
      </c>
      <c r="K474" t="s">
        <v>39</v>
      </c>
      <c r="L474" t="s">
        <v>40</v>
      </c>
      <c r="M474" t="s">
        <v>28</v>
      </c>
      <c r="N474" t="s">
        <v>124</v>
      </c>
      <c r="O474" t="s">
        <v>1516</v>
      </c>
      <c r="P474" t="s">
        <v>59</v>
      </c>
      <c r="Q474">
        <v>7</v>
      </c>
      <c r="R474">
        <v>263.45999999999998</v>
      </c>
      <c r="S474">
        <v>0</v>
      </c>
      <c r="T474" s="12">
        <f>S474</f>
        <v>0</v>
      </c>
      <c r="U474">
        <v>1844.22</v>
      </c>
      <c r="V474">
        <f>Q474*R474*(1-S474)</f>
        <v>1844.2199999999998</v>
      </c>
      <c r="W474">
        <v>1094.21</v>
      </c>
      <c r="X474">
        <v>750.01</v>
      </c>
      <c r="Y474">
        <f>V474-W474</f>
        <v>750.00999999999976</v>
      </c>
      <c r="Z474" s="12">
        <f>Y474/V474</f>
        <v>0.40668141544934977</v>
      </c>
      <c r="AA474" t="s">
        <v>32</v>
      </c>
      <c r="AB474" t="s">
        <v>33</v>
      </c>
      <c r="AC474" s="14" t="s">
        <v>2794</v>
      </c>
      <c r="AD474" t="s">
        <v>2782</v>
      </c>
      <c r="AE474" t="str">
        <f>PROPER(TRIM(AB474))</f>
        <v>Completed</v>
      </c>
      <c r="AS474" t="str">
        <f t="shared" si="9"/>
        <v/>
      </c>
    </row>
    <row r="475" spans="1:45">
      <c r="A475" t="s">
        <v>1517</v>
      </c>
      <c r="B475" s="7">
        <v>45609</v>
      </c>
      <c r="C475" s="4">
        <v>45609</v>
      </c>
      <c r="D475">
        <f>C475-B475</f>
        <v>0</v>
      </c>
      <c r="E475" t="str">
        <f>TEXT(B475,"mmmm")</f>
        <v>November</v>
      </c>
      <c r="F475">
        <f>YEAR(B475)</f>
        <v>2024</v>
      </c>
      <c r="G475" t="s">
        <v>1518</v>
      </c>
      <c r="H475" t="s">
        <v>114</v>
      </c>
      <c r="I475" t="s">
        <v>24</v>
      </c>
      <c r="J475" t="s">
        <v>63</v>
      </c>
      <c r="K475" t="s">
        <v>190</v>
      </c>
      <c r="L475" t="s">
        <v>191</v>
      </c>
      <c r="M475" t="s">
        <v>74</v>
      </c>
      <c r="N475" t="s">
        <v>80</v>
      </c>
      <c r="O475" t="s">
        <v>1519</v>
      </c>
      <c r="P475" t="s">
        <v>59</v>
      </c>
      <c r="Q475">
        <v>6</v>
      </c>
      <c r="R475">
        <v>191.45</v>
      </c>
      <c r="S475">
        <v>0.2</v>
      </c>
      <c r="T475" s="12">
        <f>S475</f>
        <v>0.2</v>
      </c>
      <c r="U475">
        <v>918.96</v>
      </c>
      <c r="V475">
        <f>Q475*R475*(1-S475)</f>
        <v>918.95999999999992</v>
      </c>
      <c r="W475">
        <v>554.17999999999995</v>
      </c>
      <c r="X475">
        <v>364.78</v>
      </c>
      <c r="Y475">
        <f>V475-W475</f>
        <v>364.78</v>
      </c>
      <c r="Z475" s="12">
        <f>Y475/V475</f>
        <v>0.39694872464525116</v>
      </c>
      <c r="AA475" t="s">
        <v>32</v>
      </c>
      <c r="AB475" t="s">
        <v>33</v>
      </c>
      <c r="AC475" s="14" t="s">
        <v>2794</v>
      </c>
      <c r="AD475" t="s">
        <v>2782</v>
      </c>
      <c r="AE475" t="str">
        <f>PROPER(TRIM(AB475))</f>
        <v>Completed</v>
      </c>
      <c r="AS475" t="str">
        <f t="shared" si="9"/>
        <v/>
      </c>
    </row>
    <row r="476" spans="1:45">
      <c r="A476" t="s">
        <v>1520</v>
      </c>
      <c r="B476" s="7">
        <v>45446</v>
      </c>
      <c r="C476" s="4">
        <v>45453</v>
      </c>
      <c r="D476">
        <f>C476-B476</f>
        <v>7</v>
      </c>
      <c r="E476" t="str">
        <f>TEXT(B476,"mmmm")</f>
        <v>June</v>
      </c>
      <c r="F476">
        <f>YEAR(B476)</f>
        <v>2024</v>
      </c>
      <c r="G476" t="s">
        <v>1521</v>
      </c>
      <c r="H476" t="s">
        <v>162</v>
      </c>
      <c r="I476" t="s">
        <v>90</v>
      </c>
      <c r="J476" t="s">
        <v>25</v>
      </c>
      <c r="K476" t="s">
        <v>122</v>
      </c>
      <c r="L476" t="s">
        <v>123</v>
      </c>
      <c r="M476" t="s">
        <v>41</v>
      </c>
      <c r="N476" t="s">
        <v>57</v>
      </c>
      <c r="O476" t="s">
        <v>1522</v>
      </c>
      <c r="P476" t="s">
        <v>59</v>
      </c>
      <c r="Q476">
        <v>3</v>
      </c>
      <c r="R476">
        <v>1633.57</v>
      </c>
      <c r="S476">
        <v>0</v>
      </c>
      <c r="T476" s="12">
        <f>S476</f>
        <v>0</v>
      </c>
      <c r="U476">
        <v>4900.71</v>
      </c>
      <c r="V476">
        <f>Q476*R476*(1-S476)</f>
        <v>4900.71</v>
      </c>
      <c r="W476">
        <v>2713.9</v>
      </c>
      <c r="X476">
        <v>2186.81</v>
      </c>
      <c r="Y476">
        <f>V476-W476</f>
        <v>2186.81</v>
      </c>
      <c r="Z476" s="12">
        <f>Y476/V476</f>
        <v>0.44622309828575857</v>
      </c>
      <c r="AA476" t="s">
        <v>32</v>
      </c>
      <c r="AB476" t="s">
        <v>33</v>
      </c>
      <c r="AC476" s="14" t="s">
        <v>2794</v>
      </c>
      <c r="AD476" t="s">
        <v>2782</v>
      </c>
      <c r="AE476" t="str">
        <f>PROPER(TRIM(AB476))</f>
        <v>Completed</v>
      </c>
      <c r="AS476" t="str">
        <f t="shared" si="9"/>
        <v/>
      </c>
    </row>
    <row r="477" spans="1:45">
      <c r="A477" t="s">
        <v>1523</v>
      </c>
      <c r="B477" s="7">
        <v>45660</v>
      </c>
      <c r="C477" s="4">
        <v>45724</v>
      </c>
      <c r="D477">
        <f>C477-B477</f>
        <v>64</v>
      </c>
      <c r="E477" t="str">
        <f>TEXT(B477,"mmmm")</f>
        <v>January</v>
      </c>
      <c r="F477">
        <f>YEAR(B477)</f>
        <v>2025</v>
      </c>
      <c r="G477" t="s">
        <v>1524</v>
      </c>
      <c r="H477" t="s">
        <v>71</v>
      </c>
      <c r="I477" t="s">
        <v>24</v>
      </c>
      <c r="J477" t="s">
        <v>38</v>
      </c>
      <c r="K477" t="s">
        <v>99</v>
      </c>
      <c r="L477" t="s">
        <v>100</v>
      </c>
      <c r="M477" t="s">
        <v>41</v>
      </c>
      <c r="N477" t="s">
        <v>66</v>
      </c>
      <c r="O477" t="s">
        <v>1525</v>
      </c>
      <c r="P477" t="s">
        <v>44</v>
      </c>
      <c r="Q477">
        <v>8</v>
      </c>
      <c r="R477">
        <v>3378.82</v>
      </c>
      <c r="S477">
        <v>0.25</v>
      </c>
      <c r="T477" s="12">
        <f>S477</f>
        <v>0.25</v>
      </c>
      <c r="U477">
        <v>20272.919999999998</v>
      </c>
      <c r="V477">
        <f>Q477*R477*(1-S477)</f>
        <v>20272.920000000002</v>
      </c>
      <c r="W477">
        <v>15873.38</v>
      </c>
      <c r="X477">
        <v>4399.54</v>
      </c>
      <c r="Y477">
        <f>V477-W477</f>
        <v>4399.5400000000027</v>
      </c>
      <c r="Z477" s="12">
        <f>Y477/V477</f>
        <v>0.21701560505344086</v>
      </c>
      <c r="AA477" t="s">
        <v>111</v>
      </c>
      <c r="AB477" t="s">
        <v>103</v>
      </c>
      <c r="AC477" s="14" t="s">
        <v>2794</v>
      </c>
      <c r="AD477" t="s">
        <v>2782</v>
      </c>
      <c r="AE477" t="str">
        <f>PROPER(TRIM(AB477))</f>
        <v>Returned</v>
      </c>
      <c r="AS477" t="str">
        <f t="shared" si="9"/>
        <v/>
      </c>
    </row>
    <row r="478" spans="1:45">
      <c r="A478" t="s">
        <v>1526</v>
      </c>
      <c r="B478" s="7">
        <v>45478</v>
      </c>
      <c r="C478" s="4">
        <v>45426</v>
      </c>
      <c r="D478" s="10">
        <f>C478-B478</f>
        <v>-52</v>
      </c>
      <c r="E478" t="str">
        <f>TEXT(B478,"mmmm")</f>
        <v>July</v>
      </c>
      <c r="F478">
        <f>YEAR(B478)</f>
        <v>2024</v>
      </c>
      <c r="G478" t="s">
        <v>1527</v>
      </c>
      <c r="H478" t="s">
        <v>132</v>
      </c>
      <c r="I478" t="s">
        <v>37</v>
      </c>
      <c r="J478" t="s">
        <v>25</v>
      </c>
      <c r="K478" t="s">
        <v>26</v>
      </c>
      <c r="L478" t="s">
        <v>27</v>
      </c>
      <c r="M478" t="s">
        <v>28</v>
      </c>
      <c r="N478" t="s">
        <v>124</v>
      </c>
      <c r="O478" t="s">
        <v>1528</v>
      </c>
      <c r="P478" t="s">
        <v>50</v>
      </c>
      <c r="Q478">
        <v>3</v>
      </c>
      <c r="R478">
        <v>383.58</v>
      </c>
      <c r="S478">
        <v>0.1</v>
      </c>
      <c r="T478" s="12">
        <f>S478</f>
        <v>0.1</v>
      </c>
      <c r="U478">
        <v>1035.67</v>
      </c>
      <c r="V478">
        <f>Q478*R478*(1-S478)</f>
        <v>1035.6659999999999</v>
      </c>
      <c r="W478">
        <v>595.41999999999996</v>
      </c>
      <c r="X478">
        <v>440.25</v>
      </c>
      <c r="Y478">
        <f>V478-W478</f>
        <v>440.24599999999998</v>
      </c>
      <c r="Z478" s="12">
        <f>Y478/V478</f>
        <v>0.42508492120046426</v>
      </c>
      <c r="AA478" t="s">
        <v>32</v>
      </c>
      <c r="AB478" t="s">
        <v>33</v>
      </c>
      <c r="AC478" s="10" t="s">
        <v>2792</v>
      </c>
      <c r="AD478" t="s">
        <v>2782</v>
      </c>
      <c r="AE478" t="str">
        <f>PROPER(TRIM(AB478))</f>
        <v>Completed</v>
      </c>
      <c r="AS478" t="str">
        <f t="shared" si="9"/>
        <v/>
      </c>
    </row>
    <row r="479" spans="1:45">
      <c r="A479" t="s">
        <v>1529</v>
      </c>
      <c r="B479" s="7">
        <v>45892</v>
      </c>
      <c r="C479" s="4">
        <v>45897</v>
      </c>
      <c r="D479">
        <f>C479-B479</f>
        <v>5</v>
      </c>
      <c r="E479" t="str">
        <f>TEXT(B479,"mmmm")</f>
        <v>August</v>
      </c>
      <c r="F479">
        <f>YEAR(B479)</f>
        <v>2025</v>
      </c>
      <c r="G479" t="s">
        <v>1530</v>
      </c>
      <c r="H479" t="s">
        <v>71</v>
      </c>
      <c r="I479" t="s">
        <v>90</v>
      </c>
      <c r="J479" t="s">
        <v>63</v>
      </c>
      <c r="K479" t="s">
        <v>180</v>
      </c>
      <c r="L479" t="s">
        <v>181</v>
      </c>
      <c r="M479" t="s">
        <v>41</v>
      </c>
      <c r="N479" t="s">
        <v>66</v>
      </c>
      <c r="O479" t="s">
        <v>1531</v>
      </c>
      <c r="P479" t="s">
        <v>59</v>
      </c>
      <c r="Q479">
        <v>6</v>
      </c>
      <c r="R479">
        <v>2193.23</v>
      </c>
      <c r="S479">
        <v>0.1</v>
      </c>
      <c r="T479" s="12">
        <f>S479</f>
        <v>0.1</v>
      </c>
      <c r="U479">
        <v>11843.44</v>
      </c>
      <c r="V479">
        <f>Q479*R479*(1-S479)</f>
        <v>11843.442000000001</v>
      </c>
      <c r="W479">
        <v>9356.8799999999992</v>
      </c>
      <c r="X479">
        <v>2486.56</v>
      </c>
      <c r="Y479">
        <f>V479-W479</f>
        <v>2486.5620000000017</v>
      </c>
      <c r="Z479" s="12">
        <f>Y479/V479</f>
        <v>0.20995264721184953</v>
      </c>
      <c r="AA479" t="s">
        <v>32</v>
      </c>
      <c r="AB479" t="s">
        <v>68</v>
      </c>
      <c r="AC479" s="14" t="s">
        <v>2794</v>
      </c>
      <c r="AD479" t="s">
        <v>2782</v>
      </c>
      <c r="AE479" t="str">
        <f>PROPER(TRIM(AB479))</f>
        <v>Cancelled</v>
      </c>
      <c r="AS479" t="str">
        <f t="shared" si="9"/>
        <v/>
      </c>
    </row>
    <row r="480" spans="1:45">
      <c r="A480" t="s">
        <v>1532</v>
      </c>
      <c r="B480" s="7">
        <v>45541</v>
      </c>
      <c r="C480" s="4">
        <v>45456</v>
      </c>
      <c r="D480" s="10">
        <f>C480-B480</f>
        <v>-85</v>
      </c>
      <c r="E480" t="str">
        <f>TEXT(B480,"mmmm")</f>
        <v>September</v>
      </c>
      <c r="F480">
        <f>YEAR(B480)</f>
        <v>2024</v>
      </c>
      <c r="G480" t="s">
        <v>1533</v>
      </c>
      <c r="H480" t="s">
        <v>36</v>
      </c>
      <c r="I480" t="s">
        <v>95</v>
      </c>
      <c r="J480" t="s">
        <v>2783</v>
      </c>
      <c r="K480" t="s">
        <v>136</v>
      </c>
      <c r="L480" t="s">
        <v>137</v>
      </c>
      <c r="M480" t="s">
        <v>74</v>
      </c>
      <c r="N480" t="s">
        <v>274</v>
      </c>
      <c r="O480" t="s">
        <v>1534</v>
      </c>
      <c r="P480" t="s">
        <v>44</v>
      </c>
      <c r="Q480">
        <v>7</v>
      </c>
      <c r="R480">
        <v>4079.71</v>
      </c>
      <c r="S480">
        <v>0.1</v>
      </c>
      <c r="T480" s="12">
        <f>S480</f>
        <v>0.1</v>
      </c>
      <c r="U480">
        <v>25702.17</v>
      </c>
      <c r="V480">
        <f>Q480*R480*(1-S480)</f>
        <v>25702.173000000003</v>
      </c>
      <c r="W480">
        <v>14571.48</v>
      </c>
      <c r="X480">
        <v>11130.69</v>
      </c>
      <c r="Y480">
        <f>V480-W480</f>
        <v>11130.693000000003</v>
      </c>
      <c r="Z480" s="12">
        <f>Y480/V480</f>
        <v>0.43306427826160854</v>
      </c>
      <c r="AA480" t="s">
        <v>102</v>
      </c>
      <c r="AB480" t="s">
        <v>103</v>
      </c>
      <c r="AC480" s="10" t="s">
        <v>2796</v>
      </c>
      <c r="AD480" t="s">
        <v>2782</v>
      </c>
      <c r="AE480" t="str">
        <f>PROPER(TRIM(AB480))</f>
        <v>Returned</v>
      </c>
      <c r="AS480" t="str">
        <f t="shared" si="9"/>
        <v/>
      </c>
    </row>
    <row r="481" spans="1:45">
      <c r="A481" t="s">
        <v>1535</v>
      </c>
      <c r="B481" s="7">
        <v>45345</v>
      </c>
      <c r="C481" s="4">
        <v>45342</v>
      </c>
      <c r="D481" s="10">
        <f>C481-B481</f>
        <v>-3</v>
      </c>
      <c r="E481" t="str">
        <f>TEXT(B481,"mmmm")</f>
        <v>February</v>
      </c>
      <c r="F481">
        <f>YEAR(B481)</f>
        <v>2024</v>
      </c>
      <c r="G481" t="s">
        <v>1536</v>
      </c>
      <c r="H481" t="s">
        <v>53</v>
      </c>
      <c r="I481" t="s">
        <v>90</v>
      </c>
      <c r="J481" t="s">
        <v>38</v>
      </c>
      <c r="K481" t="s">
        <v>39</v>
      </c>
      <c r="L481" t="s">
        <v>40</v>
      </c>
      <c r="M481" t="s">
        <v>41</v>
      </c>
      <c r="N481" t="s">
        <v>66</v>
      </c>
      <c r="O481" t="s">
        <v>1537</v>
      </c>
      <c r="P481" t="s">
        <v>31</v>
      </c>
      <c r="Q481">
        <v>1</v>
      </c>
      <c r="R481">
        <v>2202.5500000000002</v>
      </c>
      <c r="S481">
        <v>0</v>
      </c>
      <c r="T481" s="12">
        <f>S481</f>
        <v>0</v>
      </c>
      <c r="U481">
        <v>1651.91</v>
      </c>
      <c r="V481">
        <f>Q481*R481*(1-S481)</f>
        <v>2202.5500000000002</v>
      </c>
      <c r="W481">
        <v>1034.57</v>
      </c>
      <c r="X481">
        <v>617.34</v>
      </c>
      <c r="Y481">
        <f>V481-W481</f>
        <v>1167.9800000000002</v>
      </c>
      <c r="Z481" s="12">
        <f>Y481/V481</f>
        <v>0.53028535107035035</v>
      </c>
      <c r="AA481" t="s">
        <v>32</v>
      </c>
      <c r="AB481" t="s">
        <v>33</v>
      </c>
      <c r="AC481" s="10" t="s">
        <v>2792</v>
      </c>
      <c r="AD481" t="s">
        <v>2782</v>
      </c>
      <c r="AE481" t="str">
        <f>PROPER(TRIM(AB481))</f>
        <v>Completed</v>
      </c>
      <c r="AS481" t="str">
        <f t="shared" si="9"/>
        <v/>
      </c>
    </row>
    <row r="482" spans="1:45">
      <c r="A482" t="s">
        <v>1538</v>
      </c>
      <c r="B482" s="7">
        <v>45662</v>
      </c>
      <c r="C482" s="4">
        <v>45666</v>
      </c>
      <c r="D482">
        <f>C482-B482</f>
        <v>4</v>
      </c>
      <c r="E482" t="str">
        <f>TEXT(B482,"mmmm")</f>
        <v>January</v>
      </c>
      <c r="F482">
        <f>YEAR(B482)</f>
        <v>2025</v>
      </c>
      <c r="G482" t="s">
        <v>1539</v>
      </c>
      <c r="H482" t="s">
        <v>79</v>
      </c>
      <c r="I482" t="s">
        <v>37</v>
      </c>
      <c r="J482" t="s">
        <v>54</v>
      </c>
      <c r="K482" t="s">
        <v>247</v>
      </c>
      <c r="L482" t="s">
        <v>248</v>
      </c>
      <c r="M482" t="s">
        <v>28</v>
      </c>
      <c r="N482" t="s">
        <v>124</v>
      </c>
      <c r="O482" t="s">
        <v>1540</v>
      </c>
      <c r="P482" t="s">
        <v>2783</v>
      </c>
      <c r="Q482">
        <v>5</v>
      </c>
      <c r="R482">
        <v>905.16</v>
      </c>
      <c r="S482">
        <v>0</v>
      </c>
      <c r="T482" s="12">
        <f>S482</f>
        <v>0</v>
      </c>
      <c r="U482">
        <v>4525.8</v>
      </c>
      <c r="V482">
        <f>Q482*R482*(1-S482)</f>
        <v>4525.8</v>
      </c>
      <c r="W482">
        <v>2714.51</v>
      </c>
      <c r="X482">
        <v>1811.29</v>
      </c>
      <c r="Y482">
        <f>V482-W482</f>
        <v>1811.29</v>
      </c>
      <c r="Z482" s="12">
        <f>Y482/V482</f>
        <v>0.40021432674886204</v>
      </c>
      <c r="AA482" t="s">
        <v>32</v>
      </c>
      <c r="AB482" t="s">
        <v>33</v>
      </c>
      <c r="AC482" s="10" t="s">
        <v>2795</v>
      </c>
      <c r="AD482" t="s">
        <v>2782</v>
      </c>
      <c r="AE482" t="str">
        <f>PROPER(TRIM(AB482))</f>
        <v>Completed</v>
      </c>
      <c r="AS482" t="str">
        <f t="shared" si="9"/>
        <v/>
      </c>
    </row>
    <row r="483" spans="1:45">
      <c r="A483" t="s">
        <v>1541</v>
      </c>
      <c r="B483" s="7">
        <v>45813</v>
      </c>
      <c r="C483" s="4">
        <v>45821</v>
      </c>
      <c r="D483">
        <f>C483-B483</f>
        <v>8</v>
      </c>
      <c r="E483" t="str">
        <f>TEXT(B483,"mmmm")</f>
        <v>June</v>
      </c>
      <c r="F483">
        <f>YEAR(B483)</f>
        <v>2025</v>
      </c>
      <c r="G483" t="s">
        <v>1542</v>
      </c>
      <c r="H483" t="s">
        <v>47</v>
      </c>
      <c r="I483" t="s">
        <v>24</v>
      </c>
      <c r="J483" t="s">
        <v>25</v>
      </c>
      <c r="K483" t="s">
        <v>136</v>
      </c>
      <c r="L483" t="s">
        <v>137</v>
      </c>
      <c r="M483" t="s">
        <v>74</v>
      </c>
      <c r="N483" t="s">
        <v>274</v>
      </c>
      <c r="O483" t="s">
        <v>1543</v>
      </c>
      <c r="P483" t="s">
        <v>44</v>
      </c>
      <c r="Q483">
        <v>4</v>
      </c>
      <c r="R483">
        <v>2793.88</v>
      </c>
      <c r="S483" s="3">
        <v>0.85</v>
      </c>
      <c r="T483" s="13">
        <f>S483</f>
        <v>0.85</v>
      </c>
      <c r="U483">
        <v>10616.74</v>
      </c>
      <c r="V483">
        <f>Q483*R483*(1-S483)</f>
        <v>1676.3280000000002</v>
      </c>
      <c r="W483">
        <v>6353.59</v>
      </c>
      <c r="X483">
        <v>4263.1499999999996</v>
      </c>
      <c r="Y483">
        <f>V483-W483</f>
        <v>-4677.2619999999997</v>
      </c>
      <c r="Z483" s="12">
        <f>Y483/V483</f>
        <v>-2.7901830667983827</v>
      </c>
      <c r="AA483" t="s">
        <v>32</v>
      </c>
      <c r="AB483" t="s">
        <v>33</v>
      </c>
      <c r="AC483" s="10" t="s">
        <v>2793</v>
      </c>
      <c r="AD483" t="s">
        <v>2782</v>
      </c>
      <c r="AE483" t="str">
        <f>PROPER(TRIM(AB483))</f>
        <v>Completed</v>
      </c>
      <c r="AS483" t="str">
        <f t="shared" si="9"/>
        <v/>
      </c>
    </row>
    <row r="484" spans="1:45">
      <c r="A484" t="s">
        <v>1544</v>
      </c>
      <c r="B484" s="7">
        <v>45495</v>
      </c>
      <c r="C484" s="4">
        <v>45495</v>
      </c>
      <c r="D484">
        <f>C484-B484</f>
        <v>0</v>
      </c>
      <c r="E484" t="str">
        <f>TEXT(B484,"mmmm")</f>
        <v>July</v>
      </c>
      <c r="F484">
        <f>YEAR(B484)</f>
        <v>2024</v>
      </c>
      <c r="G484" t="s">
        <v>1545</v>
      </c>
      <c r="H484" t="s">
        <v>114</v>
      </c>
      <c r="I484" t="s">
        <v>24</v>
      </c>
      <c r="J484" t="s">
        <v>54</v>
      </c>
      <c r="K484" t="s">
        <v>175</v>
      </c>
      <c r="L484" t="s">
        <v>176</v>
      </c>
      <c r="M484" t="s">
        <v>74</v>
      </c>
      <c r="N484" t="s">
        <v>75</v>
      </c>
      <c r="O484" t="s">
        <v>1546</v>
      </c>
      <c r="P484" t="s">
        <v>31</v>
      </c>
      <c r="Q484">
        <v>3</v>
      </c>
      <c r="R484">
        <v>1286.22</v>
      </c>
      <c r="S484">
        <v>0.25</v>
      </c>
      <c r="T484" s="12">
        <f>S484</f>
        <v>0.25</v>
      </c>
      <c r="U484">
        <v>2893.99</v>
      </c>
      <c r="V484">
        <f>Q484*R484*(1-S484)</f>
        <v>2893.9949999999999</v>
      </c>
      <c r="W484">
        <v>1856.03</v>
      </c>
      <c r="X484">
        <v>1037.96</v>
      </c>
      <c r="Y484">
        <f>V484-W484</f>
        <v>1037.9649999999999</v>
      </c>
      <c r="Z484" s="12">
        <f>Y484/V484</f>
        <v>0.35866164247001114</v>
      </c>
      <c r="AA484" t="s">
        <v>32</v>
      </c>
      <c r="AB484" t="s">
        <v>33</v>
      </c>
      <c r="AC484" s="14" t="s">
        <v>2794</v>
      </c>
      <c r="AD484" t="s">
        <v>2782</v>
      </c>
      <c r="AE484" t="str">
        <f>PROPER(TRIM(AB484))</f>
        <v>Completed</v>
      </c>
      <c r="AS484" t="str">
        <f t="shared" si="9"/>
        <v/>
      </c>
    </row>
    <row r="485" spans="1:45">
      <c r="A485" t="s">
        <v>1547</v>
      </c>
      <c r="B485" s="7">
        <v>45651</v>
      </c>
      <c r="C485" s="4">
        <v>45651</v>
      </c>
      <c r="D485">
        <f>C485-B485</f>
        <v>0</v>
      </c>
      <c r="E485" t="str">
        <f>TEXT(B485,"mmmm")</f>
        <v>December</v>
      </c>
      <c r="F485">
        <f>YEAR(B485)</f>
        <v>2024</v>
      </c>
      <c r="G485" t="s">
        <v>1548</v>
      </c>
      <c r="H485" t="s">
        <v>36</v>
      </c>
      <c r="I485" t="s">
        <v>90</v>
      </c>
      <c r="J485" t="s">
        <v>38</v>
      </c>
      <c r="K485" t="s">
        <v>145</v>
      </c>
      <c r="L485" t="s">
        <v>146</v>
      </c>
      <c r="M485" t="s">
        <v>74</v>
      </c>
      <c r="N485" t="s">
        <v>80</v>
      </c>
      <c r="O485" t="s">
        <v>1549</v>
      </c>
      <c r="P485" t="s">
        <v>59</v>
      </c>
      <c r="Q485">
        <v>1</v>
      </c>
      <c r="R485">
        <v>829.66</v>
      </c>
      <c r="S485">
        <v>0.15</v>
      </c>
      <c r="T485" s="12">
        <f>S485</f>
        <v>0.15</v>
      </c>
      <c r="U485">
        <v>705.21</v>
      </c>
      <c r="V485">
        <f>Q485*R485*(1-S485)</f>
        <v>705.2109999999999</v>
      </c>
      <c r="W485">
        <v>438.32</v>
      </c>
      <c r="X485">
        <v>266.89</v>
      </c>
      <c r="Y485">
        <f>V485-W485</f>
        <v>266.89099999999991</v>
      </c>
      <c r="Z485" s="12">
        <f>Y485/V485</f>
        <v>0.37845552607659261</v>
      </c>
      <c r="AA485" t="s">
        <v>32</v>
      </c>
      <c r="AB485" t="s">
        <v>33</v>
      </c>
      <c r="AC485" s="14" t="s">
        <v>2794</v>
      </c>
      <c r="AD485" t="s">
        <v>2782</v>
      </c>
      <c r="AE485" t="str">
        <f>PROPER(TRIM(AB485))</f>
        <v>Completed</v>
      </c>
      <c r="AS485" t="str">
        <f t="shared" si="9"/>
        <v/>
      </c>
    </row>
    <row r="486" spans="1:45">
      <c r="A486" t="s">
        <v>1550</v>
      </c>
      <c r="B486" s="7">
        <v>45654</v>
      </c>
      <c r="C486" s="4">
        <v>45657</v>
      </c>
      <c r="D486">
        <f>C486-B486</f>
        <v>3</v>
      </c>
      <c r="E486" t="str">
        <f>TEXT(B486,"mmmm")</f>
        <v>December</v>
      </c>
      <c r="F486">
        <f>YEAR(B486)</f>
        <v>2024</v>
      </c>
      <c r="G486" t="s">
        <v>1551</v>
      </c>
      <c r="H486" t="s">
        <v>36</v>
      </c>
      <c r="I486" t="s">
        <v>37</v>
      </c>
      <c r="J486" t="s">
        <v>54</v>
      </c>
      <c r="K486" t="s">
        <v>84</v>
      </c>
      <c r="L486" t="s">
        <v>85</v>
      </c>
      <c r="M486" t="s">
        <v>41</v>
      </c>
      <c r="N486" t="s">
        <v>57</v>
      </c>
      <c r="O486" t="s">
        <v>1552</v>
      </c>
      <c r="P486" t="s">
        <v>50</v>
      </c>
      <c r="Q486">
        <v>6</v>
      </c>
      <c r="R486">
        <v>3641.22</v>
      </c>
      <c r="S486">
        <v>0.25</v>
      </c>
      <c r="T486" s="12">
        <f>S486</f>
        <v>0.25</v>
      </c>
      <c r="U486">
        <v>16385.490000000002</v>
      </c>
      <c r="V486">
        <f>Q486*R486*(1-S486)</f>
        <v>16385.489999999998</v>
      </c>
      <c r="W486">
        <v>13679.24</v>
      </c>
      <c r="X486">
        <v>2706.25</v>
      </c>
      <c r="Y486">
        <f>V486-W486</f>
        <v>2706.2499999999982</v>
      </c>
      <c r="Z486" s="12">
        <f>Y486/V486</f>
        <v>0.16516137143289572</v>
      </c>
      <c r="AA486" t="s">
        <v>32</v>
      </c>
      <c r="AB486" t="s">
        <v>33</v>
      </c>
      <c r="AC486" s="14" t="s">
        <v>2794</v>
      </c>
      <c r="AD486" t="s">
        <v>2782</v>
      </c>
      <c r="AE486" t="str">
        <f>PROPER(TRIM(AB486))</f>
        <v>Completed</v>
      </c>
      <c r="AS486" t="str">
        <f t="shared" si="9"/>
        <v/>
      </c>
    </row>
    <row r="487" spans="1:45">
      <c r="A487" t="s">
        <v>1553</v>
      </c>
      <c r="B487" s="7">
        <v>45679</v>
      </c>
      <c r="C487" s="4">
        <v>45680</v>
      </c>
      <c r="D487">
        <f>C487-B487</f>
        <v>1</v>
      </c>
      <c r="E487" t="str">
        <f>TEXT(B487,"mmmm")</f>
        <v>January</v>
      </c>
      <c r="F487">
        <f>YEAR(B487)</f>
        <v>2025</v>
      </c>
      <c r="G487" t="s">
        <v>1554</v>
      </c>
      <c r="H487" t="s">
        <v>118</v>
      </c>
      <c r="I487" t="s">
        <v>90</v>
      </c>
      <c r="J487" t="s">
        <v>63</v>
      </c>
      <c r="K487" t="s">
        <v>190</v>
      </c>
      <c r="L487" t="s">
        <v>191</v>
      </c>
      <c r="M487" t="s">
        <v>41</v>
      </c>
      <c r="N487" t="s">
        <v>158</v>
      </c>
      <c r="O487" t="s">
        <v>1555</v>
      </c>
      <c r="P487" t="s">
        <v>59</v>
      </c>
      <c r="Q487">
        <v>4</v>
      </c>
      <c r="R487">
        <v>2555.19</v>
      </c>
      <c r="S487">
        <v>0.25</v>
      </c>
      <c r="T487" s="12">
        <f>S487</f>
        <v>0.25</v>
      </c>
      <c r="U487">
        <v>7665.57</v>
      </c>
      <c r="V487">
        <f>Q487*R487*(1-S487)</f>
        <v>7665.57</v>
      </c>
      <c r="W487">
        <v>5595.6</v>
      </c>
      <c r="X487">
        <v>2069.9699999999998</v>
      </c>
      <c r="Y487">
        <f>V487-W487</f>
        <v>2069.9699999999993</v>
      </c>
      <c r="Z487" s="12">
        <f>Y487/V487</f>
        <v>0.27003471366121495</v>
      </c>
      <c r="AA487" t="s">
        <v>32</v>
      </c>
      <c r="AB487" t="s">
        <v>33</v>
      </c>
      <c r="AC487" s="14" t="s">
        <v>2794</v>
      </c>
      <c r="AD487" t="s">
        <v>2782</v>
      </c>
      <c r="AE487" t="str">
        <f>PROPER(TRIM(AB487))</f>
        <v>Completed</v>
      </c>
      <c r="AS487" t="str">
        <f t="shared" si="9"/>
        <v/>
      </c>
    </row>
    <row r="488" spans="1:45">
      <c r="A488" t="s">
        <v>1556</v>
      </c>
      <c r="B488" s="7">
        <v>45830</v>
      </c>
      <c r="C488" s="4">
        <v>45834</v>
      </c>
      <c r="D488">
        <f>C488-B488</f>
        <v>4</v>
      </c>
      <c r="E488" t="str">
        <f>TEXT(B488,"mmmm")</f>
        <v>June</v>
      </c>
      <c r="F488">
        <f>YEAR(B488)</f>
        <v>2025</v>
      </c>
      <c r="G488" t="s">
        <v>1557</v>
      </c>
      <c r="H488" t="s">
        <v>118</v>
      </c>
      <c r="I488" t="s">
        <v>90</v>
      </c>
      <c r="J488" t="s">
        <v>63</v>
      </c>
      <c r="K488" t="s">
        <v>190</v>
      </c>
      <c r="L488" t="s">
        <v>191</v>
      </c>
      <c r="M488" t="s">
        <v>41</v>
      </c>
      <c r="N488" t="s">
        <v>42</v>
      </c>
      <c r="O488" t="s">
        <v>1558</v>
      </c>
      <c r="P488" t="s">
        <v>59</v>
      </c>
      <c r="Q488">
        <v>3</v>
      </c>
      <c r="R488">
        <v>1946.18</v>
      </c>
      <c r="S488">
        <v>0.2</v>
      </c>
      <c r="T488" s="12">
        <f>S488</f>
        <v>0.2</v>
      </c>
      <c r="U488">
        <v>4670.83</v>
      </c>
      <c r="V488">
        <f>Q488*R488*(1-S488)</f>
        <v>4670.8320000000003</v>
      </c>
      <c r="W488">
        <v>3166.49</v>
      </c>
      <c r="X488">
        <v>1504.34</v>
      </c>
      <c r="Y488">
        <f>V488-W488</f>
        <v>1504.3420000000006</v>
      </c>
      <c r="Z488" s="12">
        <f>Y488/V488</f>
        <v>0.3220715281560117</v>
      </c>
      <c r="AA488" t="s">
        <v>32</v>
      </c>
      <c r="AB488" t="s">
        <v>33</v>
      </c>
      <c r="AC488" s="14" t="s">
        <v>2794</v>
      </c>
      <c r="AD488" t="s">
        <v>2782</v>
      </c>
      <c r="AE488" t="str">
        <f>PROPER(TRIM(AB488))</f>
        <v>Completed</v>
      </c>
      <c r="AS488" t="str">
        <f t="shared" si="9"/>
        <v/>
      </c>
    </row>
    <row r="489" spans="1:45">
      <c r="A489" t="s">
        <v>1559</v>
      </c>
      <c r="B489" s="7">
        <v>45818</v>
      </c>
      <c r="C489" s="4">
        <v>45825</v>
      </c>
      <c r="D489">
        <f>C489-B489</f>
        <v>7</v>
      </c>
      <c r="E489" t="str">
        <f>TEXT(B489,"mmmm")</f>
        <v>June</v>
      </c>
      <c r="F489">
        <f>YEAR(B489)</f>
        <v>2025</v>
      </c>
      <c r="G489" t="s">
        <v>1560</v>
      </c>
      <c r="H489" t="s">
        <v>118</v>
      </c>
      <c r="I489" t="s">
        <v>90</v>
      </c>
      <c r="J489" t="s">
        <v>54</v>
      </c>
      <c r="K489" t="s">
        <v>55</v>
      </c>
      <c r="L489" t="s">
        <v>56</v>
      </c>
      <c r="M489" t="s">
        <v>41</v>
      </c>
      <c r="N489" t="s">
        <v>57</v>
      </c>
      <c r="O489" t="s">
        <v>1561</v>
      </c>
      <c r="P489" t="s">
        <v>59</v>
      </c>
      <c r="Q489">
        <v>5</v>
      </c>
      <c r="R489">
        <v>1231.0999999999999</v>
      </c>
      <c r="S489">
        <v>0</v>
      </c>
      <c r="T489" s="12">
        <f>S489</f>
        <v>0</v>
      </c>
      <c r="U489">
        <v>6155.5</v>
      </c>
      <c r="V489">
        <f>Q489*R489*(1-S489)</f>
        <v>6155.5</v>
      </c>
      <c r="W489">
        <v>4282.09</v>
      </c>
      <c r="X489">
        <v>1873.41</v>
      </c>
      <c r="Y489">
        <f>V489-W489</f>
        <v>1873.4099999999999</v>
      </c>
      <c r="Z489" s="12">
        <f>Y489/V489</f>
        <v>0.3043473316546178</v>
      </c>
      <c r="AA489" t="s">
        <v>102</v>
      </c>
      <c r="AB489" t="s">
        <v>103</v>
      </c>
      <c r="AC489" s="14" t="s">
        <v>2794</v>
      </c>
      <c r="AD489" t="s">
        <v>2782</v>
      </c>
      <c r="AE489" t="str">
        <f>PROPER(TRIM(AB489))</f>
        <v>Returned</v>
      </c>
      <c r="AS489" t="str">
        <f t="shared" si="9"/>
        <v/>
      </c>
    </row>
    <row r="490" spans="1:45">
      <c r="A490" t="s">
        <v>1562</v>
      </c>
      <c r="B490" s="7">
        <v>45579</v>
      </c>
      <c r="C490" s="4">
        <v>45585</v>
      </c>
      <c r="D490">
        <f>C490-B490</f>
        <v>6</v>
      </c>
      <c r="E490" t="str">
        <f>TEXT(B490,"mmmm")</f>
        <v>October</v>
      </c>
      <c r="F490">
        <f>YEAR(B490)</f>
        <v>2024</v>
      </c>
      <c r="G490" t="s">
        <v>1563</v>
      </c>
      <c r="H490" t="s">
        <v>89</v>
      </c>
      <c r="I490" t="s">
        <v>37</v>
      </c>
      <c r="J490" t="s">
        <v>25</v>
      </c>
      <c r="K490" t="s">
        <v>26</v>
      </c>
      <c r="L490" t="s">
        <v>27</v>
      </c>
      <c r="M490" t="s">
        <v>41</v>
      </c>
      <c r="N490" t="s">
        <v>42</v>
      </c>
      <c r="O490" t="s">
        <v>1564</v>
      </c>
      <c r="P490" t="s">
        <v>44</v>
      </c>
      <c r="Q490">
        <v>7</v>
      </c>
      <c r="R490">
        <v>1547.6</v>
      </c>
      <c r="S490">
        <v>0.2</v>
      </c>
      <c r="T490" s="12">
        <f>S490</f>
        <v>0.2</v>
      </c>
      <c r="U490">
        <v>8666.56</v>
      </c>
      <c r="V490">
        <f>Q490*R490*(1-S490)</f>
        <v>8666.56</v>
      </c>
      <c r="W490">
        <v>5967.44</v>
      </c>
      <c r="X490">
        <v>2699.12</v>
      </c>
      <c r="Y490">
        <f>V490-W490</f>
        <v>2699.12</v>
      </c>
      <c r="Z490" s="12">
        <f>Y490/V490</f>
        <v>0.31144075619392242</v>
      </c>
      <c r="AA490" t="s">
        <v>32</v>
      </c>
      <c r="AB490" t="s">
        <v>33</v>
      </c>
      <c r="AC490" s="14" t="s">
        <v>2794</v>
      </c>
      <c r="AD490" t="s">
        <v>2782</v>
      </c>
      <c r="AE490" t="str">
        <f>PROPER(TRIM(AB490))</f>
        <v>Completed</v>
      </c>
      <c r="AS490" t="str">
        <f t="shared" si="9"/>
        <v/>
      </c>
    </row>
    <row r="491" spans="1:45">
      <c r="A491" t="s">
        <v>1565</v>
      </c>
      <c r="B491" s="7">
        <v>45329</v>
      </c>
      <c r="C491" s="4">
        <v>45334</v>
      </c>
      <c r="D491">
        <f>C491-B491</f>
        <v>5</v>
      </c>
      <c r="E491" t="str">
        <f>TEXT(B491,"mmmm")</f>
        <v>February</v>
      </c>
      <c r="F491">
        <f>YEAR(B491)</f>
        <v>2024</v>
      </c>
      <c r="G491" t="s">
        <v>1566</v>
      </c>
      <c r="H491" t="s">
        <v>53</v>
      </c>
      <c r="I491" t="s">
        <v>95</v>
      </c>
      <c r="J491" t="s">
        <v>38</v>
      </c>
      <c r="K491" t="s">
        <v>99</v>
      </c>
      <c r="L491" t="s">
        <v>100</v>
      </c>
      <c r="M491" t="s">
        <v>74</v>
      </c>
      <c r="N491" t="s">
        <v>75</v>
      </c>
      <c r="O491" t="s">
        <v>1567</v>
      </c>
      <c r="P491" t="s">
        <v>31</v>
      </c>
      <c r="Q491">
        <v>1</v>
      </c>
      <c r="R491">
        <v>452.19</v>
      </c>
      <c r="S491">
        <v>0.2</v>
      </c>
      <c r="T491" s="12">
        <f>S491</f>
        <v>0.2</v>
      </c>
      <c r="U491">
        <v>361.75</v>
      </c>
      <c r="V491">
        <f>Q491*R491*(1-S491)</f>
        <v>361.75200000000001</v>
      </c>
      <c r="W491">
        <v>262.52999999999997</v>
      </c>
      <c r="X491">
        <v>99.22</v>
      </c>
      <c r="Y491">
        <f>V491-W491</f>
        <v>99.222000000000037</v>
      </c>
      <c r="Z491" s="12">
        <f>Y491/V491</f>
        <v>0.27428182843495003</v>
      </c>
      <c r="AA491" t="s">
        <v>32</v>
      </c>
      <c r="AB491" t="s">
        <v>33</v>
      </c>
      <c r="AC491" s="14" t="s">
        <v>2794</v>
      </c>
      <c r="AD491" t="s">
        <v>2782</v>
      </c>
      <c r="AE491" t="str">
        <f>PROPER(TRIM(AB491))</f>
        <v>Completed</v>
      </c>
      <c r="AS491" t="str">
        <f t="shared" si="9"/>
        <v/>
      </c>
    </row>
    <row r="492" spans="1:45">
      <c r="A492" t="s">
        <v>1568</v>
      </c>
      <c r="B492" s="7">
        <v>45551</v>
      </c>
      <c r="C492" s="4">
        <v>45554</v>
      </c>
      <c r="D492">
        <f>C492-B492</f>
        <v>3</v>
      </c>
      <c r="E492" t="str">
        <f>TEXT(B492,"mmmm")</f>
        <v>September</v>
      </c>
      <c r="F492">
        <f>YEAR(B492)</f>
        <v>2024</v>
      </c>
      <c r="G492" t="s">
        <v>1569</v>
      </c>
      <c r="H492" t="s">
        <v>89</v>
      </c>
      <c r="I492" t="s">
        <v>24</v>
      </c>
      <c r="J492" t="s">
        <v>63</v>
      </c>
      <c r="K492" t="s">
        <v>26</v>
      </c>
      <c r="L492" t="s">
        <v>109</v>
      </c>
      <c r="M492" t="s">
        <v>28</v>
      </c>
      <c r="N492" t="s">
        <v>153</v>
      </c>
      <c r="O492" t="s">
        <v>1570</v>
      </c>
      <c r="P492" t="s">
        <v>50</v>
      </c>
      <c r="Q492">
        <v>7</v>
      </c>
      <c r="R492">
        <v>406.42</v>
      </c>
      <c r="S492">
        <v>0.15</v>
      </c>
      <c r="T492" s="12">
        <f>S492</f>
        <v>0.15</v>
      </c>
      <c r="U492">
        <v>2418.1999999999998</v>
      </c>
      <c r="V492">
        <f>Q492*R492*(1-S492)</f>
        <v>2418.1990000000001</v>
      </c>
      <c r="W492">
        <v>1613.82</v>
      </c>
      <c r="X492">
        <v>804.38</v>
      </c>
      <c r="Y492">
        <f>V492-W492</f>
        <v>804.37900000000013</v>
      </c>
      <c r="Z492" s="12">
        <f>Y492/V492</f>
        <v>0.33263556886757462</v>
      </c>
      <c r="AA492" t="s">
        <v>32</v>
      </c>
      <c r="AB492" t="s">
        <v>33</v>
      </c>
      <c r="AC492" s="14" t="s">
        <v>2794</v>
      </c>
      <c r="AD492" t="s">
        <v>2782</v>
      </c>
      <c r="AE492" t="str">
        <f>PROPER(TRIM(AB492))</f>
        <v>Completed</v>
      </c>
      <c r="AS492" t="str">
        <f t="shared" si="9"/>
        <v/>
      </c>
    </row>
    <row r="493" spans="1:45">
      <c r="A493" t="s">
        <v>1571</v>
      </c>
      <c r="B493" s="7">
        <v>45776</v>
      </c>
      <c r="C493" s="4">
        <v>45777</v>
      </c>
      <c r="D493">
        <f>C493-B493</f>
        <v>1</v>
      </c>
      <c r="E493" t="str">
        <f>TEXT(B493,"mmmm")</f>
        <v>April</v>
      </c>
      <c r="F493">
        <f>YEAR(B493)</f>
        <v>2025</v>
      </c>
      <c r="G493" t="s">
        <v>1572</v>
      </c>
      <c r="H493" t="s">
        <v>36</v>
      </c>
      <c r="I493" t="s">
        <v>90</v>
      </c>
      <c r="J493" t="s">
        <v>54</v>
      </c>
      <c r="K493" t="s">
        <v>185</v>
      </c>
      <c r="L493" t="s">
        <v>186</v>
      </c>
      <c r="M493" t="s">
        <v>74</v>
      </c>
      <c r="N493" t="s">
        <v>75</v>
      </c>
      <c r="O493" t="s">
        <v>1573</v>
      </c>
      <c r="P493" t="s">
        <v>59</v>
      </c>
      <c r="Q493">
        <v>4</v>
      </c>
      <c r="R493">
        <v>606.58000000000004</v>
      </c>
      <c r="S493">
        <v>0.2</v>
      </c>
      <c r="T493" s="12">
        <f>S493</f>
        <v>0.2</v>
      </c>
      <c r="U493">
        <v>1941.06</v>
      </c>
      <c r="V493">
        <f>Q493*R493*(1-S493)</f>
        <v>1941.0560000000003</v>
      </c>
      <c r="W493">
        <v>1207.42</v>
      </c>
      <c r="X493">
        <v>733.64</v>
      </c>
      <c r="Y493">
        <f>V493-W493</f>
        <v>733.63600000000019</v>
      </c>
      <c r="Z493" s="12">
        <f>Y493/V493</f>
        <v>0.37795715321969076</v>
      </c>
      <c r="AA493" t="s">
        <v>32</v>
      </c>
      <c r="AB493" t="s">
        <v>33</v>
      </c>
      <c r="AC493" s="14" t="s">
        <v>2794</v>
      </c>
      <c r="AD493" t="s">
        <v>2782</v>
      </c>
      <c r="AE493" t="str">
        <f>PROPER(TRIM(AB493))</f>
        <v>Completed</v>
      </c>
      <c r="AS493" t="str">
        <f t="shared" si="9"/>
        <v/>
      </c>
    </row>
    <row r="494" spans="1:45">
      <c r="A494" t="s">
        <v>1574</v>
      </c>
      <c r="B494" s="7">
        <v>45836</v>
      </c>
      <c r="C494" s="4">
        <v>45695</v>
      </c>
      <c r="D494" s="10">
        <f>C494-B494</f>
        <v>-141</v>
      </c>
      <c r="E494" t="str">
        <f>TEXT(B494,"mmmm")</f>
        <v>June</v>
      </c>
      <c r="F494">
        <f>YEAR(B494)</f>
        <v>2025</v>
      </c>
      <c r="G494" t="s">
        <v>1575</v>
      </c>
      <c r="H494" t="s">
        <v>62</v>
      </c>
      <c r="I494" t="s">
        <v>90</v>
      </c>
      <c r="J494" t="s">
        <v>54</v>
      </c>
      <c r="K494" t="s">
        <v>84</v>
      </c>
      <c r="L494" t="s">
        <v>85</v>
      </c>
      <c r="M494" t="s">
        <v>28</v>
      </c>
      <c r="N494" t="s">
        <v>124</v>
      </c>
      <c r="O494" t="s">
        <v>1576</v>
      </c>
      <c r="P494" t="s">
        <v>31</v>
      </c>
      <c r="Q494">
        <v>2</v>
      </c>
      <c r="R494">
        <v>2725.44</v>
      </c>
      <c r="S494">
        <v>0.25</v>
      </c>
      <c r="T494" s="12">
        <f>S494</f>
        <v>0.25</v>
      </c>
      <c r="U494">
        <v>4088.16</v>
      </c>
      <c r="V494">
        <f>Q494*R494*(1-S494)</f>
        <v>4088.16</v>
      </c>
      <c r="W494">
        <v>3205.68</v>
      </c>
      <c r="X494">
        <v>882.48</v>
      </c>
      <c r="Y494">
        <f>V494-W494</f>
        <v>882.48</v>
      </c>
      <c r="Z494" s="12">
        <f>Y494/V494</f>
        <v>0.21586239286133616</v>
      </c>
      <c r="AA494" t="s">
        <v>32</v>
      </c>
      <c r="AB494" t="s">
        <v>33</v>
      </c>
      <c r="AC494" s="10" t="s">
        <v>2792</v>
      </c>
      <c r="AD494" t="s">
        <v>2782</v>
      </c>
      <c r="AE494" t="str">
        <f>PROPER(TRIM(AB494))</f>
        <v>Completed</v>
      </c>
      <c r="AS494" t="str">
        <f t="shared" si="9"/>
        <v/>
      </c>
    </row>
    <row r="495" spans="1:45">
      <c r="A495" t="s">
        <v>1577</v>
      </c>
      <c r="B495" s="7">
        <v>45701</v>
      </c>
      <c r="C495" s="4">
        <v>45701</v>
      </c>
      <c r="D495">
        <f>C495-B495</f>
        <v>0</v>
      </c>
      <c r="E495" t="str">
        <f>TEXT(B495,"mmmm")</f>
        <v>February</v>
      </c>
      <c r="F495">
        <f>YEAR(B495)</f>
        <v>2025</v>
      </c>
      <c r="G495" t="s">
        <v>1578</v>
      </c>
      <c r="H495" t="s">
        <v>264</v>
      </c>
      <c r="I495" t="s">
        <v>90</v>
      </c>
      <c r="J495" t="s">
        <v>38</v>
      </c>
      <c r="K495" t="s">
        <v>39</v>
      </c>
      <c r="L495" t="s">
        <v>40</v>
      </c>
      <c r="M495" t="s">
        <v>28</v>
      </c>
      <c r="N495" t="s">
        <v>29</v>
      </c>
      <c r="O495" t="s">
        <v>1579</v>
      </c>
      <c r="P495" t="s">
        <v>31</v>
      </c>
      <c r="Q495">
        <v>7</v>
      </c>
      <c r="R495">
        <v>2296.6999999999998</v>
      </c>
      <c r="S495">
        <v>0.05</v>
      </c>
      <c r="T495" s="12">
        <f>S495</f>
        <v>0.05</v>
      </c>
      <c r="U495">
        <v>15273.05</v>
      </c>
      <c r="V495">
        <f>Q495*R495*(1-S495)</f>
        <v>15273.054999999997</v>
      </c>
      <c r="W495">
        <v>11088.76</v>
      </c>
      <c r="X495">
        <v>4184.29</v>
      </c>
      <c r="Y495">
        <f>V495-W495</f>
        <v>4184.2949999999964</v>
      </c>
      <c r="Z495" s="12">
        <f>Y495/V495</f>
        <v>0.27396581757873573</v>
      </c>
      <c r="AA495" t="s">
        <v>32</v>
      </c>
      <c r="AB495" t="s">
        <v>33</v>
      </c>
      <c r="AC495" s="14" t="s">
        <v>2794</v>
      </c>
      <c r="AD495" t="s">
        <v>2782</v>
      </c>
      <c r="AE495" t="str">
        <f>PROPER(TRIM(AB495))</f>
        <v>Completed</v>
      </c>
      <c r="AS495" t="str">
        <f t="shared" si="9"/>
        <v/>
      </c>
    </row>
    <row r="496" spans="1:45">
      <c r="A496" t="s">
        <v>1580</v>
      </c>
      <c r="B496" s="7">
        <v>45610</v>
      </c>
      <c r="C496" s="4">
        <v>45618</v>
      </c>
      <c r="D496">
        <f>C496-B496</f>
        <v>8</v>
      </c>
      <c r="E496" t="str">
        <f>TEXT(B496,"mmmm")</f>
        <v>November</v>
      </c>
      <c r="F496">
        <f>YEAR(B496)</f>
        <v>2024</v>
      </c>
      <c r="G496" t="s">
        <v>1581</v>
      </c>
      <c r="H496" t="s">
        <v>47</v>
      </c>
      <c r="I496" t="s">
        <v>24</v>
      </c>
      <c r="J496" t="s">
        <v>63</v>
      </c>
      <c r="K496" t="s">
        <v>72</v>
      </c>
      <c r="L496" t="s">
        <v>73</v>
      </c>
      <c r="M496" t="s">
        <v>74</v>
      </c>
      <c r="N496" t="s">
        <v>171</v>
      </c>
      <c r="O496" t="s">
        <v>1582</v>
      </c>
      <c r="P496" t="s">
        <v>59</v>
      </c>
      <c r="Q496">
        <v>3</v>
      </c>
      <c r="R496">
        <v>671.68</v>
      </c>
      <c r="S496">
        <v>-0.13</v>
      </c>
      <c r="T496" s="13">
        <f>S496</f>
        <v>-0.13</v>
      </c>
      <c r="U496">
        <v>1712.78</v>
      </c>
      <c r="V496">
        <f>Q496*R496*(1-S496)</f>
        <v>2276.9951999999998</v>
      </c>
      <c r="W496">
        <v>1569.38</v>
      </c>
      <c r="X496">
        <v>360.66</v>
      </c>
      <c r="Y496">
        <f>V496-W496</f>
        <v>707.61519999999973</v>
      </c>
      <c r="Z496" s="12">
        <f>Y496/V496</f>
        <v>0.31076710218800629</v>
      </c>
      <c r="AA496" t="s">
        <v>155</v>
      </c>
      <c r="AB496" t="s">
        <v>68</v>
      </c>
      <c r="AC496" s="10" t="s">
        <v>2793</v>
      </c>
      <c r="AD496" t="s">
        <v>2782</v>
      </c>
      <c r="AE496" t="str">
        <f>PROPER(TRIM(AB496))</f>
        <v>Cancelled</v>
      </c>
      <c r="AS496" t="str">
        <f t="shared" si="9"/>
        <v/>
      </c>
    </row>
    <row r="497" spans="1:45">
      <c r="A497" t="s">
        <v>1583</v>
      </c>
      <c r="B497" s="7">
        <v>45540</v>
      </c>
      <c r="C497" s="4">
        <v>45427</v>
      </c>
      <c r="D497" s="10">
        <f>C497-B497</f>
        <v>-113</v>
      </c>
      <c r="E497" t="str">
        <f>TEXT(B497,"mmmm")</f>
        <v>September</v>
      </c>
      <c r="F497">
        <f>YEAR(B497)</f>
        <v>2024</v>
      </c>
      <c r="G497" t="s">
        <v>1584</v>
      </c>
      <c r="H497" t="s">
        <v>36</v>
      </c>
      <c r="I497" t="s">
        <v>37</v>
      </c>
      <c r="J497" t="s">
        <v>38</v>
      </c>
      <c r="K497" t="s">
        <v>166</v>
      </c>
      <c r="L497" t="s">
        <v>167</v>
      </c>
      <c r="M497" t="s">
        <v>74</v>
      </c>
      <c r="N497" t="s">
        <v>171</v>
      </c>
      <c r="O497" t="s">
        <v>1585</v>
      </c>
      <c r="P497" t="s">
        <v>31</v>
      </c>
      <c r="Q497">
        <v>4</v>
      </c>
      <c r="R497">
        <v>995.98</v>
      </c>
      <c r="S497">
        <v>0.05</v>
      </c>
      <c r="T497" s="12">
        <f>S497</f>
        <v>0.05</v>
      </c>
      <c r="U497">
        <v>3784.72</v>
      </c>
      <c r="V497">
        <f>Q497*R497*(1-S497)</f>
        <v>3784.7239999999997</v>
      </c>
      <c r="W497">
        <v>2419.2399999999998</v>
      </c>
      <c r="X497">
        <v>1365.48</v>
      </c>
      <c r="Y497">
        <f>V497-W497</f>
        <v>1365.4839999999999</v>
      </c>
      <c r="Z497" s="12">
        <f>Y497/V497</f>
        <v>0.36078826355633858</v>
      </c>
      <c r="AA497" t="s">
        <v>102</v>
      </c>
      <c r="AB497" t="s">
        <v>103</v>
      </c>
      <c r="AC497" s="10" t="s">
        <v>2792</v>
      </c>
      <c r="AD497" t="s">
        <v>2782</v>
      </c>
      <c r="AE497" t="str">
        <f>PROPER(TRIM(AB497))</f>
        <v>Returned</v>
      </c>
      <c r="AS497" t="str">
        <f t="shared" si="9"/>
        <v/>
      </c>
    </row>
    <row r="498" spans="1:45">
      <c r="A498" t="s">
        <v>1586</v>
      </c>
      <c r="B498" s="7">
        <v>45842</v>
      </c>
      <c r="C498" s="4">
        <v>45844</v>
      </c>
      <c r="D498">
        <f>C498-B498</f>
        <v>2</v>
      </c>
      <c r="E498" t="str">
        <f>TEXT(B498,"mmmm")</f>
        <v>July</v>
      </c>
      <c r="F498">
        <f>YEAR(B498)</f>
        <v>2025</v>
      </c>
      <c r="G498" t="s">
        <v>1587</v>
      </c>
      <c r="H498" t="s">
        <v>264</v>
      </c>
      <c r="I498" t="s">
        <v>37</v>
      </c>
      <c r="J498" t="s">
        <v>38</v>
      </c>
      <c r="K498" t="s">
        <v>228</v>
      </c>
      <c r="L498" t="s">
        <v>229</v>
      </c>
      <c r="M498" t="s">
        <v>41</v>
      </c>
      <c r="N498" t="s">
        <v>66</v>
      </c>
      <c r="O498" t="s">
        <v>1588</v>
      </c>
      <c r="P498" t="s">
        <v>31</v>
      </c>
      <c r="Q498">
        <v>2</v>
      </c>
      <c r="R498">
        <v>3686.42</v>
      </c>
      <c r="S498">
        <v>0.1</v>
      </c>
      <c r="T498" s="12">
        <f>S498</f>
        <v>0.1</v>
      </c>
      <c r="U498">
        <v>6635.56</v>
      </c>
      <c r="V498">
        <f>Q498*R498*(1-S498)</f>
        <v>6635.5560000000005</v>
      </c>
      <c r="W498">
        <v>3652.91</v>
      </c>
      <c r="X498">
        <v>2982.65</v>
      </c>
      <c r="Y498">
        <f>V498-W498</f>
        <v>2982.6460000000006</v>
      </c>
      <c r="Z498" s="12">
        <f>Y498/V498</f>
        <v>0.44949451108543131</v>
      </c>
      <c r="AA498" t="s">
        <v>32</v>
      </c>
      <c r="AB498" t="s">
        <v>33</v>
      </c>
      <c r="AC498" s="14" t="s">
        <v>2794</v>
      </c>
      <c r="AD498" t="s">
        <v>2782</v>
      </c>
      <c r="AE498" t="str">
        <f>PROPER(TRIM(AB498))</f>
        <v>Completed</v>
      </c>
      <c r="AS498" t="str">
        <f t="shared" si="9"/>
        <v/>
      </c>
    </row>
    <row r="499" spans="1:45">
      <c r="A499" t="s">
        <v>1589</v>
      </c>
      <c r="B499" s="7">
        <v>45533</v>
      </c>
      <c r="C499" s="4">
        <v>45533</v>
      </c>
      <c r="D499">
        <f>C499-B499</f>
        <v>0</v>
      </c>
      <c r="E499" t="str">
        <f>TEXT(B499,"mmmm")</f>
        <v>August</v>
      </c>
      <c r="F499">
        <f>YEAR(B499)</f>
        <v>2024</v>
      </c>
      <c r="G499" t="s">
        <v>1590</v>
      </c>
      <c r="H499" t="s">
        <v>132</v>
      </c>
      <c r="I499" t="s">
        <v>37</v>
      </c>
      <c r="J499" t="s">
        <v>25</v>
      </c>
      <c r="K499" t="s">
        <v>136</v>
      </c>
      <c r="L499" t="s">
        <v>137</v>
      </c>
      <c r="M499" t="s">
        <v>74</v>
      </c>
      <c r="N499" t="s">
        <v>75</v>
      </c>
      <c r="O499" t="s">
        <v>1591</v>
      </c>
      <c r="P499" t="s">
        <v>31</v>
      </c>
      <c r="Q499">
        <v>1</v>
      </c>
      <c r="R499">
        <v>3106.88</v>
      </c>
      <c r="S499">
        <v>0.2</v>
      </c>
      <c r="T499" s="12">
        <f>S499</f>
        <v>0.2</v>
      </c>
      <c r="U499">
        <v>2485.5</v>
      </c>
      <c r="V499">
        <f>Q499*R499*(1-S499)</f>
        <v>2485.5040000000004</v>
      </c>
      <c r="W499">
        <v>2028.43</v>
      </c>
      <c r="X499">
        <v>457.07</v>
      </c>
      <c r="Y499">
        <f>V499-W499</f>
        <v>457.0740000000003</v>
      </c>
      <c r="Z499" s="12">
        <f>Y499/V499</f>
        <v>0.18389590199814615</v>
      </c>
      <c r="AA499" t="s">
        <v>32</v>
      </c>
      <c r="AB499" t="s">
        <v>68</v>
      </c>
      <c r="AC499" s="14" t="s">
        <v>2794</v>
      </c>
      <c r="AD499" t="s">
        <v>2782</v>
      </c>
      <c r="AE499" t="str">
        <f>PROPER(TRIM(AB499))</f>
        <v>Cancelled</v>
      </c>
      <c r="AS499" t="str">
        <f t="shared" si="9"/>
        <v/>
      </c>
    </row>
    <row r="500" spans="1:45">
      <c r="A500" t="s">
        <v>1592</v>
      </c>
      <c r="B500" s="7">
        <v>45907</v>
      </c>
      <c r="C500" s="4">
        <v>45910</v>
      </c>
      <c r="D500">
        <f>C500-B500</f>
        <v>3</v>
      </c>
      <c r="E500" t="str">
        <f>TEXT(B500,"mmmm")</f>
        <v>September</v>
      </c>
      <c r="F500">
        <f>YEAR(B500)</f>
        <v>2025</v>
      </c>
      <c r="G500" t="s">
        <v>1593</v>
      </c>
      <c r="H500" t="s">
        <v>23</v>
      </c>
      <c r="I500" t="s">
        <v>24</v>
      </c>
      <c r="J500" t="s">
        <v>25</v>
      </c>
      <c r="K500" t="s">
        <v>122</v>
      </c>
      <c r="L500" t="s">
        <v>123</v>
      </c>
      <c r="M500" t="s">
        <v>41</v>
      </c>
      <c r="N500" t="s">
        <v>66</v>
      </c>
      <c r="O500" t="s">
        <v>1594</v>
      </c>
      <c r="P500" t="s">
        <v>44</v>
      </c>
      <c r="Q500">
        <v>2</v>
      </c>
      <c r="R500">
        <v>447.55</v>
      </c>
      <c r="S500">
        <v>0.05</v>
      </c>
      <c r="T500" s="12">
        <f>S500</f>
        <v>0.05</v>
      </c>
      <c r="U500">
        <v>850.35</v>
      </c>
      <c r="V500">
        <f>Q500*R500*(1-S500)</f>
        <v>850.34500000000003</v>
      </c>
      <c r="W500">
        <v>600.98</v>
      </c>
      <c r="X500">
        <v>249.37</v>
      </c>
      <c r="Y500">
        <f>V500-W500</f>
        <v>249.36500000000001</v>
      </c>
      <c r="Z500" s="12">
        <f>Y500/V500</f>
        <v>0.29325156260106194</v>
      </c>
      <c r="AA500" t="s">
        <v>102</v>
      </c>
      <c r="AB500" t="s">
        <v>68</v>
      </c>
      <c r="AC500" s="14" t="s">
        <v>2794</v>
      </c>
      <c r="AD500" t="s">
        <v>2782</v>
      </c>
      <c r="AE500" t="str">
        <f>PROPER(TRIM(AB500))</f>
        <v>Cancelled</v>
      </c>
      <c r="AS500" t="str">
        <f t="shared" si="9"/>
        <v/>
      </c>
    </row>
    <row r="501" spans="1:45">
      <c r="A501" t="s">
        <v>1595</v>
      </c>
      <c r="B501" s="7">
        <v>45648</v>
      </c>
      <c r="C501" s="4">
        <v>45652</v>
      </c>
      <c r="D501">
        <f>C501-B501</f>
        <v>4</v>
      </c>
      <c r="E501" t="str">
        <f>TEXT(B501,"mmmm")</f>
        <v>December</v>
      </c>
      <c r="F501">
        <f>YEAR(B501)</f>
        <v>2024</v>
      </c>
      <c r="G501" t="s">
        <v>1596</v>
      </c>
      <c r="H501" t="s">
        <v>118</v>
      </c>
      <c r="I501" t="s">
        <v>95</v>
      </c>
      <c r="J501" t="s">
        <v>25</v>
      </c>
      <c r="K501" t="s">
        <v>136</v>
      </c>
      <c r="L501" t="s">
        <v>137</v>
      </c>
      <c r="M501" t="s">
        <v>41</v>
      </c>
      <c r="N501" t="s">
        <v>66</v>
      </c>
      <c r="O501" t="s">
        <v>1597</v>
      </c>
      <c r="P501" t="s">
        <v>59</v>
      </c>
      <c r="Q501">
        <v>9</v>
      </c>
      <c r="R501">
        <v>1110.8699999999999</v>
      </c>
      <c r="S501">
        <v>0</v>
      </c>
      <c r="T501" s="12">
        <f>S501</f>
        <v>0</v>
      </c>
      <c r="U501">
        <v>7498.37</v>
      </c>
      <c r="V501">
        <f>Q501*R501*(1-S501)</f>
        <v>9997.8299999999981</v>
      </c>
      <c r="W501">
        <v>6059.07</v>
      </c>
      <c r="X501">
        <v>1439.3</v>
      </c>
      <c r="Y501">
        <f>V501-W501</f>
        <v>3938.7599999999984</v>
      </c>
      <c r="Z501" s="12">
        <f>Y501/V501</f>
        <v>0.3939614896432525</v>
      </c>
      <c r="AA501" t="s">
        <v>32</v>
      </c>
      <c r="AB501" t="s">
        <v>68</v>
      </c>
      <c r="AC501" s="14" t="s">
        <v>2794</v>
      </c>
      <c r="AD501" t="s">
        <v>2782</v>
      </c>
      <c r="AE501" t="str">
        <f>PROPER(TRIM(AB501))</f>
        <v>Cancelled</v>
      </c>
      <c r="AS501" t="str">
        <f t="shared" si="9"/>
        <v/>
      </c>
    </row>
    <row r="502" spans="1:45">
      <c r="A502" t="s">
        <v>1598</v>
      </c>
      <c r="B502" s="7">
        <v>45429</v>
      </c>
      <c r="C502" s="4">
        <v>45434</v>
      </c>
      <c r="D502">
        <f>C502-B502</f>
        <v>5</v>
      </c>
      <c r="E502" t="str">
        <f>TEXT(B502,"mmmm")</f>
        <v>May</v>
      </c>
      <c r="F502">
        <f>YEAR(B502)</f>
        <v>2024</v>
      </c>
      <c r="G502" t="s">
        <v>1599</v>
      </c>
      <c r="H502" t="s">
        <v>132</v>
      </c>
      <c r="I502" t="s">
        <v>24</v>
      </c>
      <c r="J502" t="s">
        <v>54</v>
      </c>
      <c r="K502" t="s">
        <v>185</v>
      </c>
      <c r="L502" t="s">
        <v>186</v>
      </c>
      <c r="M502" t="s">
        <v>74</v>
      </c>
      <c r="N502" t="s">
        <v>171</v>
      </c>
      <c r="O502" t="s">
        <v>1600</v>
      </c>
      <c r="P502" t="s">
        <v>44</v>
      </c>
      <c r="Q502">
        <v>9</v>
      </c>
      <c r="R502">
        <v>3795.99</v>
      </c>
      <c r="S502" s="3">
        <v>0.85</v>
      </c>
      <c r="T502" s="13">
        <f>S502</f>
        <v>0.85</v>
      </c>
      <c r="U502">
        <v>34163.910000000003</v>
      </c>
      <c r="V502">
        <f>Q502*R502*(1-S502)</f>
        <v>5124.5865000000003</v>
      </c>
      <c r="W502">
        <v>28577.15</v>
      </c>
      <c r="X502">
        <v>5586.76</v>
      </c>
      <c r="Y502">
        <f>V502-W502</f>
        <v>-23452.5635</v>
      </c>
      <c r="Z502" s="12">
        <f>Y502/V502</f>
        <v>-4.5764791949555343</v>
      </c>
      <c r="AA502" t="s">
        <v>32</v>
      </c>
      <c r="AB502" t="s">
        <v>33</v>
      </c>
      <c r="AC502" s="10" t="s">
        <v>2793</v>
      </c>
      <c r="AD502" t="s">
        <v>2782</v>
      </c>
      <c r="AE502" t="str">
        <f>PROPER(TRIM(AB502))</f>
        <v>Completed</v>
      </c>
      <c r="AS502" t="str">
        <f t="shared" si="9"/>
        <v/>
      </c>
    </row>
    <row r="503" spans="1:45">
      <c r="A503" t="s">
        <v>1601</v>
      </c>
      <c r="B503" s="7">
        <v>45515</v>
      </c>
      <c r="C503" s="4">
        <v>45521</v>
      </c>
      <c r="D503">
        <f>C503-B503</f>
        <v>6</v>
      </c>
      <c r="E503" t="str">
        <f>TEXT(B503,"mmmm")</f>
        <v>August</v>
      </c>
      <c r="F503">
        <f>YEAR(B503)</f>
        <v>2024</v>
      </c>
      <c r="G503" t="s">
        <v>806</v>
      </c>
      <c r="H503" t="s">
        <v>79</v>
      </c>
      <c r="I503" t="s">
        <v>24</v>
      </c>
      <c r="J503" t="s">
        <v>38</v>
      </c>
      <c r="K503" t="s">
        <v>228</v>
      </c>
      <c r="L503" t="s">
        <v>229</v>
      </c>
      <c r="M503" t="s">
        <v>28</v>
      </c>
      <c r="N503" t="s">
        <v>48</v>
      </c>
      <c r="O503" t="s">
        <v>1602</v>
      </c>
      <c r="P503" t="s">
        <v>31</v>
      </c>
      <c r="Q503">
        <v>6</v>
      </c>
      <c r="R503">
        <v>3497.54</v>
      </c>
      <c r="S503">
        <v>0.15</v>
      </c>
      <c r="T503" s="12">
        <f>S503</f>
        <v>0.15</v>
      </c>
      <c r="U503">
        <v>17837.45</v>
      </c>
      <c r="V503">
        <f>Q503*R503*(1-S503)</f>
        <v>17837.453999999998</v>
      </c>
      <c r="W503">
        <v>13627.02</v>
      </c>
      <c r="X503">
        <v>4210.43</v>
      </c>
      <c r="Y503">
        <f>V503-W503</f>
        <v>4210.4339999999975</v>
      </c>
      <c r="Z503" s="12">
        <f>Y503/V503</f>
        <v>0.23604456106796395</v>
      </c>
      <c r="AA503" t="s">
        <v>32</v>
      </c>
      <c r="AB503" t="s">
        <v>33</v>
      </c>
      <c r="AC503" s="14" t="s">
        <v>2794</v>
      </c>
      <c r="AD503" t="s">
        <v>2782</v>
      </c>
      <c r="AE503" t="str">
        <f>PROPER(TRIM(AB503))</f>
        <v>Completed</v>
      </c>
      <c r="AS503" t="str">
        <f t="shared" si="9"/>
        <v/>
      </c>
    </row>
    <row r="504" spans="1:45">
      <c r="A504" t="s">
        <v>1603</v>
      </c>
      <c r="B504" s="7">
        <v>45295</v>
      </c>
      <c r="C504" s="4">
        <v>45391</v>
      </c>
      <c r="D504">
        <f>C504-B504</f>
        <v>96</v>
      </c>
      <c r="E504" t="str">
        <f>TEXT(B504,"mmmm")</f>
        <v>January</v>
      </c>
      <c r="F504">
        <f>YEAR(B504)</f>
        <v>2024</v>
      </c>
      <c r="G504" t="s">
        <v>1604</v>
      </c>
      <c r="H504" t="s">
        <v>114</v>
      </c>
      <c r="I504" t="s">
        <v>37</v>
      </c>
      <c r="J504" t="s">
        <v>38</v>
      </c>
      <c r="K504" t="s">
        <v>39</v>
      </c>
      <c r="L504" t="s">
        <v>40</v>
      </c>
      <c r="M504" t="s">
        <v>74</v>
      </c>
      <c r="N504" t="s">
        <v>80</v>
      </c>
      <c r="O504" t="s">
        <v>1605</v>
      </c>
      <c r="P504" t="s">
        <v>31</v>
      </c>
      <c r="Q504">
        <v>6</v>
      </c>
      <c r="R504">
        <v>826.93</v>
      </c>
      <c r="S504">
        <v>0.1</v>
      </c>
      <c r="T504" s="12">
        <f>S504</f>
        <v>0.1</v>
      </c>
      <c r="U504">
        <v>4465.42</v>
      </c>
      <c r="V504">
        <f>Q504*R504*(1-S504)</f>
        <v>4465.4220000000005</v>
      </c>
      <c r="W504">
        <v>3377.1</v>
      </c>
      <c r="X504">
        <v>1088.32</v>
      </c>
      <c r="Y504">
        <f>V504-W504</f>
        <v>1088.3220000000006</v>
      </c>
      <c r="Z504" s="12">
        <f>Y504/V504</f>
        <v>0.24372209390288319</v>
      </c>
      <c r="AA504" t="s">
        <v>32</v>
      </c>
      <c r="AB504" t="s">
        <v>33</v>
      </c>
      <c r="AC504" s="14" t="s">
        <v>2794</v>
      </c>
      <c r="AD504" t="s">
        <v>2782</v>
      </c>
      <c r="AE504" t="str">
        <f>PROPER(TRIM(AB504))</f>
        <v>Completed</v>
      </c>
      <c r="AS504" t="str">
        <f t="shared" si="9"/>
        <v/>
      </c>
    </row>
    <row r="505" spans="1:45">
      <c r="A505" t="s">
        <v>1606</v>
      </c>
      <c r="B505" s="7">
        <v>45563</v>
      </c>
      <c r="C505" s="4">
        <v>45570</v>
      </c>
      <c r="D505">
        <f>C505-B505</f>
        <v>7</v>
      </c>
      <c r="E505" t="str">
        <f>TEXT(B505,"mmmm")</f>
        <v>September</v>
      </c>
      <c r="F505">
        <f>YEAR(B505)</f>
        <v>2024</v>
      </c>
      <c r="G505" t="s">
        <v>1607</v>
      </c>
      <c r="H505" t="s">
        <v>128</v>
      </c>
      <c r="I505" t="s">
        <v>24</v>
      </c>
      <c r="J505" t="s">
        <v>54</v>
      </c>
      <c r="K505" t="s">
        <v>247</v>
      </c>
      <c r="L505" t="s">
        <v>248</v>
      </c>
      <c r="M505" t="s">
        <v>74</v>
      </c>
      <c r="N505" t="s">
        <v>171</v>
      </c>
      <c r="O505" t="s">
        <v>1608</v>
      </c>
      <c r="P505" t="s">
        <v>59</v>
      </c>
      <c r="Q505">
        <v>7</v>
      </c>
      <c r="R505">
        <v>1681.6</v>
      </c>
      <c r="S505">
        <v>0.1</v>
      </c>
      <c r="T505" s="12">
        <f>S505</f>
        <v>0.1</v>
      </c>
      <c r="U505">
        <v>10594.08</v>
      </c>
      <c r="V505">
        <f>Q505*R505*(1-S505)</f>
        <v>10594.08</v>
      </c>
      <c r="W505">
        <v>7160.31</v>
      </c>
      <c r="X505">
        <v>3433.77</v>
      </c>
      <c r="Y505">
        <f>V505-W505</f>
        <v>3433.7699999999995</v>
      </c>
      <c r="Z505" s="12">
        <f>Y505/V505</f>
        <v>0.32412158488514337</v>
      </c>
      <c r="AA505" t="s">
        <v>32</v>
      </c>
      <c r="AB505" t="s">
        <v>33</v>
      </c>
      <c r="AC505" s="14" t="s">
        <v>2794</v>
      </c>
      <c r="AD505" t="s">
        <v>2782</v>
      </c>
      <c r="AE505" t="str">
        <f>PROPER(TRIM(AB505))</f>
        <v>Completed</v>
      </c>
      <c r="AS505" t="str">
        <f t="shared" si="9"/>
        <v/>
      </c>
    </row>
    <row r="506" spans="1:45">
      <c r="A506" t="s">
        <v>1609</v>
      </c>
      <c r="B506" s="7">
        <v>45700</v>
      </c>
      <c r="C506" s="4">
        <v>45705</v>
      </c>
      <c r="D506">
        <f>C506-B506</f>
        <v>5</v>
      </c>
      <c r="E506" t="str">
        <f>TEXT(B506,"mmmm")</f>
        <v>February</v>
      </c>
      <c r="F506">
        <f>YEAR(B506)</f>
        <v>2025</v>
      </c>
      <c r="G506" t="s">
        <v>1610</v>
      </c>
      <c r="H506" t="s">
        <v>53</v>
      </c>
      <c r="I506" t="s">
        <v>90</v>
      </c>
      <c r="J506" t="s">
        <v>63</v>
      </c>
      <c r="K506" t="s">
        <v>180</v>
      </c>
      <c r="L506" t="s">
        <v>181</v>
      </c>
      <c r="M506" t="s">
        <v>28</v>
      </c>
      <c r="N506" t="s">
        <v>48</v>
      </c>
      <c r="O506" t="s">
        <v>1611</v>
      </c>
      <c r="P506" t="s">
        <v>59</v>
      </c>
      <c r="Q506">
        <v>4</v>
      </c>
      <c r="R506">
        <v>4328.12</v>
      </c>
      <c r="S506">
        <v>0</v>
      </c>
      <c r="T506" s="12">
        <f>S506</f>
        <v>0</v>
      </c>
      <c r="U506">
        <v>17312.48</v>
      </c>
      <c r="V506">
        <f>Q506*R506*(1-S506)</f>
        <v>17312.48</v>
      </c>
      <c r="W506">
        <v>14424.22</v>
      </c>
      <c r="X506">
        <v>2888.26</v>
      </c>
      <c r="Y506">
        <f>V506-W506</f>
        <v>2888.26</v>
      </c>
      <c r="Z506" s="12">
        <f>Y506/V506</f>
        <v>0.16683109525613893</v>
      </c>
      <c r="AA506" t="s">
        <v>32</v>
      </c>
      <c r="AB506" t="s">
        <v>33</v>
      </c>
      <c r="AC506" s="14" t="s">
        <v>2794</v>
      </c>
      <c r="AD506" t="s">
        <v>2782</v>
      </c>
      <c r="AE506" t="str">
        <f>PROPER(TRIM(AB506))</f>
        <v>Completed</v>
      </c>
      <c r="AS506" t="str">
        <f t="shared" si="9"/>
        <v/>
      </c>
    </row>
    <row r="507" spans="1:45">
      <c r="A507" t="s">
        <v>1612</v>
      </c>
      <c r="B507" s="7">
        <v>45605</v>
      </c>
      <c r="C507" s="4">
        <v>45610</v>
      </c>
      <c r="D507">
        <f>C507-B507</f>
        <v>5</v>
      </c>
      <c r="E507" t="str">
        <f>TEXT(B507,"mmmm")</f>
        <v>November</v>
      </c>
      <c r="F507">
        <f>YEAR(B507)</f>
        <v>2024</v>
      </c>
      <c r="G507" t="s">
        <v>1613</v>
      </c>
      <c r="H507" t="s">
        <v>79</v>
      </c>
      <c r="I507" t="s">
        <v>90</v>
      </c>
      <c r="J507" t="s">
        <v>63</v>
      </c>
      <c r="K507" t="s">
        <v>72</v>
      </c>
      <c r="L507" t="s">
        <v>73</v>
      </c>
      <c r="M507" t="s">
        <v>28</v>
      </c>
      <c r="N507" t="s">
        <v>48</v>
      </c>
      <c r="O507" t="s">
        <v>1614</v>
      </c>
      <c r="P507" t="s">
        <v>50</v>
      </c>
      <c r="Q507">
        <v>9</v>
      </c>
      <c r="R507">
        <v>2438.29</v>
      </c>
      <c r="S507">
        <v>0.2</v>
      </c>
      <c r="T507" s="12">
        <f>S507</f>
        <v>0.2</v>
      </c>
      <c r="U507">
        <v>17555.689999999999</v>
      </c>
      <c r="V507">
        <f>Q507*R507*(1-S507)</f>
        <v>17555.688000000002</v>
      </c>
      <c r="W507">
        <v>13293.2</v>
      </c>
      <c r="X507">
        <v>4262.49</v>
      </c>
      <c r="Y507">
        <f>V507-W507</f>
        <v>4262.4880000000012</v>
      </c>
      <c r="Z507" s="12">
        <f>Y507/V507</f>
        <v>0.24279811762432785</v>
      </c>
      <c r="AA507" t="s">
        <v>32</v>
      </c>
      <c r="AB507" t="s">
        <v>68</v>
      </c>
      <c r="AC507" s="14" t="s">
        <v>2794</v>
      </c>
      <c r="AD507" t="s">
        <v>2782</v>
      </c>
      <c r="AE507" t="str">
        <f>PROPER(TRIM(AB507))</f>
        <v>Cancelled</v>
      </c>
      <c r="AS507" t="str">
        <f t="shared" si="9"/>
        <v/>
      </c>
    </row>
    <row r="508" spans="1:45">
      <c r="A508" t="s">
        <v>1615</v>
      </c>
      <c r="B508" s="7">
        <v>45641</v>
      </c>
      <c r="C508" s="4">
        <v>45641</v>
      </c>
      <c r="D508">
        <f>C508-B508</f>
        <v>0</v>
      </c>
      <c r="E508" t="str">
        <f>TEXT(B508,"mmmm")</f>
        <v>December</v>
      </c>
      <c r="F508">
        <f>YEAR(B508)</f>
        <v>2024</v>
      </c>
      <c r="G508" t="s">
        <v>1616</v>
      </c>
      <c r="H508" t="s">
        <v>128</v>
      </c>
      <c r="I508" t="s">
        <v>37</v>
      </c>
      <c r="J508" t="s">
        <v>25</v>
      </c>
      <c r="K508" t="s">
        <v>122</v>
      </c>
      <c r="L508" t="s">
        <v>123</v>
      </c>
      <c r="M508" t="s">
        <v>41</v>
      </c>
      <c r="N508" t="s">
        <v>57</v>
      </c>
      <c r="O508" t="s">
        <v>1617</v>
      </c>
      <c r="P508" t="s">
        <v>50</v>
      </c>
      <c r="Q508">
        <v>2</v>
      </c>
      <c r="R508">
        <v>669.8</v>
      </c>
      <c r="S508">
        <v>0.1</v>
      </c>
      <c r="T508" s="12">
        <f>S508</f>
        <v>0.1</v>
      </c>
      <c r="U508">
        <v>1205.6400000000001</v>
      </c>
      <c r="V508">
        <f>Q508*R508*(1-S508)</f>
        <v>1205.6399999999999</v>
      </c>
      <c r="W508">
        <v>842.07</v>
      </c>
      <c r="X508">
        <v>363.57</v>
      </c>
      <c r="Y508">
        <f>V508-W508</f>
        <v>363.56999999999982</v>
      </c>
      <c r="Z508" s="12">
        <f>Y508/V508</f>
        <v>0.30155767890912699</v>
      </c>
      <c r="AA508" t="s">
        <v>102</v>
      </c>
      <c r="AB508" t="s">
        <v>103</v>
      </c>
      <c r="AC508" s="14" t="s">
        <v>2794</v>
      </c>
      <c r="AD508" t="s">
        <v>2782</v>
      </c>
      <c r="AE508" t="str">
        <f>PROPER(TRIM(AB508))</f>
        <v>Returned</v>
      </c>
      <c r="AS508" t="str">
        <f t="shared" si="9"/>
        <v/>
      </c>
    </row>
    <row r="509" spans="1:45">
      <c r="A509" t="s">
        <v>1618</v>
      </c>
      <c r="B509" s="7">
        <v>45762</v>
      </c>
      <c r="C509" s="4">
        <v>45769</v>
      </c>
      <c r="D509">
        <f>C509-B509</f>
        <v>7</v>
      </c>
      <c r="E509" t="str">
        <f>TEXT(B509,"mmmm")</f>
        <v>April</v>
      </c>
      <c r="F509">
        <f>YEAR(B509)</f>
        <v>2025</v>
      </c>
      <c r="G509" t="s">
        <v>1619</v>
      </c>
      <c r="H509" t="s">
        <v>47</v>
      </c>
      <c r="I509" t="s">
        <v>37</v>
      </c>
      <c r="J509" t="s">
        <v>25</v>
      </c>
      <c r="K509" t="s">
        <v>236</v>
      </c>
      <c r="L509" t="s">
        <v>237</v>
      </c>
      <c r="M509" t="s">
        <v>28</v>
      </c>
      <c r="N509" t="s">
        <v>153</v>
      </c>
      <c r="O509" t="s">
        <v>1620</v>
      </c>
      <c r="P509" t="s">
        <v>44</v>
      </c>
      <c r="Q509">
        <v>4</v>
      </c>
      <c r="R509">
        <v>2990.42</v>
      </c>
      <c r="S509">
        <v>0.25</v>
      </c>
      <c r="T509" s="12">
        <f>S509</f>
        <v>0.25</v>
      </c>
      <c r="U509">
        <v>8971.26</v>
      </c>
      <c r="V509">
        <f>Q509*R509*(1-S509)</f>
        <v>8971.26</v>
      </c>
      <c r="W509">
        <v>6814.35</v>
      </c>
      <c r="X509">
        <v>2156.91</v>
      </c>
      <c r="Y509">
        <f>V509-W509</f>
        <v>2156.91</v>
      </c>
      <c r="Z509" s="12">
        <f>Y509/V509</f>
        <v>0.24042442198754688</v>
      </c>
      <c r="AA509" t="s">
        <v>32</v>
      </c>
      <c r="AB509" t="s">
        <v>33</v>
      </c>
      <c r="AC509" s="14" t="s">
        <v>2794</v>
      </c>
      <c r="AD509" t="s">
        <v>2782</v>
      </c>
      <c r="AE509" t="str">
        <f>PROPER(TRIM(AB509))</f>
        <v>Completed</v>
      </c>
      <c r="AS509" t="str">
        <f t="shared" si="9"/>
        <v/>
      </c>
    </row>
    <row r="510" spans="1:45">
      <c r="A510" t="s">
        <v>1621</v>
      </c>
      <c r="B510" s="7">
        <v>45382</v>
      </c>
      <c r="C510" s="4">
        <v>45389</v>
      </c>
      <c r="D510">
        <f>C510-B510</f>
        <v>7</v>
      </c>
      <c r="E510" t="str">
        <f>TEXT(B510,"mmmm")</f>
        <v>March</v>
      </c>
      <c r="F510">
        <f>YEAR(B510)</f>
        <v>2024</v>
      </c>
      <c r="G510" t="s">
        <v>1622</v>
      </c>
      <c r="H510" t="s">
        <v>47</v>
      </c>
      <c r="I510" t="s">
        <v>37</v>
      </c>
      <c r="J510" t="s">
        <v>25</v>
      </c>
      <c r="K510" t="s">
        <v>236</v>
      </c>
      <c r="L510" t="s">
        <v>237</v>
      </c>
      <c r="M510" t="s">
        <v>74</v>
      </c>
      <c r="N510" t="s">
        <v>274</v>
      </c>
      <c r="O510" t="s">
        <v>1623</v>
      </c>
      <c r="P510" t="s">
        <v>31</v>
      </c>
      <c r="Q510">
        <v>4</v>
      </c>
      <c r="R510">
        <v>1831</v>
      </c>
      <c r="S510">
        <v>0</v>
      </c>
      <c r="T510" s="12">
        <f>S510</f>
        <v>0</v>
      </c>
      <c r="U510">
        <v>7324</v>
      </c>
      <c r="V510">
        <f>Q510*R510*(1-S510)</f>
        <v>7324</v>
      </c>
      <c r="W510">
        <v>4179.63</v>
      </c>
      <c r="X510">
        <v>3144.37</v>
      </c>
      <c r="Y510">
        <f>V510-W510</f>
        <v>3144.37</v>
      </c>
      <c r="Z510" s="12">
        <f>Y510/V510</f>
        <v>0.42932413981430911</v>
      </c>
      <c r="AA510" t="s">
        <v>32</v>
      </c>
      <c r="AB510" t="s">
        <v>33</v>
      </c>
      <c r="AC510" s="14" t="s">
        <v>2794</v>
      </c>
      <c r="AD510" t="s">
        <v>2782</v>
      </c>
      <c r="AE510" t="str">
        <f>PROPER(TRIM(AB510))</f>
        <v>Completed</v>
      </c>
      <c r="AS510" t="str">
        <f t="shared" si="9"/>
        <v/>
      </c>
    </row>
    <row r="511" spans="1:45">
      <c r="A511" t="s">
        <v>1624</v>
      </c>
      <c r="B511" s="7">
        <v>45789</v>
      </c>
      <c r="C511" s="4">
        <v>45791</v>
      </c>
      <c r="D511">
        <f>C511-B511</f>
        <v>2</v>
      </c>
      <c r="E511" t="str">
        <f>TEXT(B511,"mmmm")</f>
        <v>May</v>
      </c>
      <c r="F511">
        <f>YEAR(B511)</f>
        <v>2025</v>
      </c>
      <c r="G511" t="s">
        <v>1625</v>
      </c>
      <c r="H511" t="s">
        <v>79</v>
      </c>
      <c r="I511" t="s">
        <v>24</v>
      </c>
      <c r="J511" t="s">
        <v>63</v>
      </c>
      <c r="K511" t="s">
        <v>180</v>
      </c>
      <c r="L511" t="s">
        <v>181</v>
      </c>
      <c r="M511" t="s">
        <v>74</v>
      </c>
      <c r="N511" t="s">
        <v>274</v>
      </c>
      <c r="O511" t="s">
        <v>1626</v>
      </c>
      <c r="P511" t="s">
        <v>44</v>
      </c>
      <c r="Q511">
        <v>8</v>
      </c>
      <c r="R511">
        <v>3631.44</v>
      </c>
      <c r="S511">
        <v>0.2</v>
      </c>
      <c r="T511" s="12">
        <f>S511</f>
        <v>0.2</v>
      </c>
      <c r="U511">
        <v>23241.22</v>
      </c>
      <c r="V511">
        <f>Q511*R511*(1-S511)</f>
        <v>23241.216</v>
      </c>
      <c r="W511">
        <v>17220.900000000001</v>
      </c>
      <c r="X511">
        <v>6020.32</v>
      </c>
      <c r="Y511">
        <f>V511-W511</f>
        <v>6020.3159999999989</v>
      </c>
      <c r="Z511" s="12">
        <f>Y511/V511</f>
        <v>0.25903618812371948</v>
      </c>
      <c r="AA511" t="s">
        <v>32</v>
      </c>
      <c r="AB511" t="s">
        <v>33</v>
      </c>
      <c r="AC511" s="14" t="s">
        <v>2794</v>
      </c>
      <c r="AD511" t="s">
        <v>2782</v>
      </c>
      <c r="AE511" t="str">
        <f>PROPER(TRIM(AB511))</f>
        <v>Completed</v>
      </c>
      <c r="AS511" t="str">
        <f t="shared" si="9"/>
        <v/>
      </c>
    </row>
    <row r="512" spans="1:45">
      <c r="A512" t="s">
        <v>1627</v>
      </c>
      <c r="B512" s="7">
        <v>45583</v>
      </c>
      <c r="C512" s="4">
        <v>45586</v>
      </c>
      <c r="D512">
        <f>C512-B512</f>
        <v>3</v>
      </c>
      <c r="E512" t="str">
        <f>TEXT(B512,"mmmm")</f>
        <v>October</v>
      </c>
      <c r="F512">
        <f>YEAR(B512)</f>
        <v>2024</v>
      </c>
      <c r="G512" t="s">
        <v>1628</v>
      </c>
      <c r="H512" t="s">
        <v>128</v>
      </c>
      <c r="I512" t="s">
        <v>24</v>
      </c>
      <c r="J512" t="s">
        <v>54</v>
      </c>
      <c r="K512" t="s">
        <v>175</v>
      </c>
      <c r="L512" t="s">
        <v>176</v>
      </c>
      <c r="M512" t="s">
        <v>28</v>
      </c>
      <c r="N512" t="s">
        <v>124</v>
      </c>
      <c r="O512" t="s">
        <v>1629</v>
      </c>
      <c r="P512" t="s">
        <v>31</v>
      </c>
      <c r="Q512">
        <v>2</v>
      </c>
      <c r="R512">
        <v>4238.51</v>
      </c>
      <c r="S512">
        <v>0</v>
      </c>
      <c r="T512" s="12">
        <f>S512</f>
        <v>0</v>
      </c>
      <c r="U512">
        <v>8477.02</v>
      </c>
      <c r="V512">
        <f>Q512*R512*(1-S512)</f>
        <v>8477.02</v>
      </c>
      <c r="W512">
        <v>6884.96</v>
      </c>
      <c r="X512">
        <v>1592.06</v>
      </c>
      <c r="Y512">
        <f>V512-W512</f>
        <v>1592.0600000000004</v>
      </c>
      <c r="Z512" s="12">
        <f>Y512/V512</f>
        <v>0.18780892341884298</v>
      </c>
      <c r="AA512" t="s">
        <v>32</v>
      </c>
      <c r="AB512" t="s">
        <v>33</v>
      </c>
      <c r="AC512" s="14" t="s">
        <v>2794</v>
      </c>
      <c r="AD512" t="s">
        <v>2782</v>
      </c>
      <c r="AE512" t="str">
        <f>PROPER(TRIM(AB512))</f>
        <v>Completed</v>
      </c>
      <c r="AS512" t="str">
        <f t="shared" si="9"/>
        <v/>
      </c>
    </row>
    <row r="513" spans="1:45">
      <c r="A513" t="s">
        <v>1630</v>
      </c>
      <c r="B513" s="7">
        <v>45588</v>
      </c>
      <c r="C513" s="4">
        <v>45591</v>
      </c>
      <c r="D513">
        <f>C513-B513</f>
        <v>3</v>
      </c>
      <c r="E513" t="str">
        <f>TEXT(B513,"mmmm")</f>
        <v>October</v>
      </c>
      <c r="F513">
        <f>YEAR(B513)</f>
        <v>2024</v>
      </c>
      <c r="G513" t="s">
        <v>1631</v>
      </c>
      <c r="H513" t="s">
        <v>132</v>
      </c>
      <c r="I513" t="s">
        <v>24</v>
      </c>
      <c r="J513" t="s">
        <v>63</v>
      </c>
      <c r="K513" t="s">
        <v>72</v>
      </c>
      <c r="L513" t="s">
        <v>73</v>
      </c>
      <c r="M513" t="s">
        <v>41</v>
      </c>
      <c r="N513" t="s">
        <v>158</v>
      </c>
      <c r="O513" t="s">
        <v>1632</v>
      </c>
      <c r="P513" t="s">
        <v>59</v>
      </c>
      <c r="Q513">
        <v>9</v>
      </c>
      <c r="R513">
        <v>544.27</v>
      </c>
      <c r="S513">
        <v>0.25</v>
      </c>
      <c r="T513" s="12">
        <f>S513</f>
        <v>0.25</v>
      </c>
      <c r="U513">
        <v>3673.82</v>
      </c>
      <c r="V513">
        <f>Q513*R513*(1-S513)</f>
        <v>3673.8225000000002</v>
      </c>
      <c r="W513">
        <v>2088.15</v>
      </c>
      <c r="X513">
        <v>1585.67</v>
      </c>
      <c r="Y513">
        <f>V513-W513</f>
        <v>1585.6725000000001</v>
      </c>
      <c r="Z513" s="12">
        <f>Y513/V513</f>
        <v>0.43161380278987349</v>
      </c>
      <c r="AA513" t="s">
        <v>32</v>
      </c>
      <c r="AB513" t="s">
        <v>33</v>
      </c>
      <c r="AC513" s="14" t="s">
        <v>2794</v>
      </c>
      <c r="AD513" t="s">
        <v>2782</v>
      </c>
      <c r="AE513" t="str">
        <f>PROPER(TRIM(AB513))</f>
        <v>Completed</v>
      </c>
      <c r="AS513" t="str">
        <f t="shared" si="9"/>
        <v/>
      </c>
    </row>
    <row r="514" spans="1:45">
      <c r="A514" t="s">
        <v>1633</v>
      </c>
      <c r="B514" s="7">
        <v>45691</v>
      </c>
      <c r="C514" s="4">
        <v>45719</v>
      </c>
      <c r="D514">
        <f>C514-B514</f>
        <v>28</v>
      </c>
      <c r="E514" t="str">
        <f>TEXT(B514,"mmmm")</f>
        <v>February</v>
      </c>
      <c r="F514">
        <f>YEAR(B514)</f>
        <v>2025</v>
      </c>
      <c r="G514" t="s">
        <v>1245</v>
      </c>
      <c r="H514" t="s">
        <v>47</v>
      </c>
      <c r="I514" t="s">
        <v>90</v>
      </c>
      <c r="J514" t="s">
        <v>54</v>
      </c>
      <c r="K514" t="s">
        <v>185</v>
      </c>
      <c r="L514" t="s">
        <v>186</v>
      </c>
      <c r="M514" t="s">
        <v>28</v>
      </c>
      <c r="N514" t="s">
        <v>91</v>
      </c>
      <c r="O514" t="s">
        <v>1634</v>
      </c>
      <c r="P514" t="s">
        <v>31</v>
      </c>
      <c r="Q514">
        <v>2</v>
      </c>
      <c r="R514">
        <v>4031.45</v>
      </c>
      <c r="S514">
        <v>0.25</v>
      </c>
      <c r="T514" s="12">
        <f>S514</f>
        <v>0.25</v>
      </c>
      <c r="U514">
        <v>6047.17</v>
      </c>
      <c r="V514">
        <f>Q514*R514*(1-S514)</f>
        <v>6047.1749999999993</v>
      </c>
      <c r="W514">
        <v>3368.79</v>
      </c>
      <c r="X514">
        <v>2678.38</v>
      </c>
      <c r="Y514">
        <f>V514-W514</f>
        <v>2678.3849999999993</v>
      </c>
      <c r="Z514" s="12">
        <f>Y514/V514</f>
        <v>0.44291508018206843</v>
      </c>
      <c r="AA514" t="s">
        <v>32</v>
      </c>
      <c r="AB514" t="s">
        <v>33</v>
      </c>
      <c r="AC514" s="14" t="s">
        <v>2794</v>
      </c>
      <c r="AD514" t="s">
        <v>2782</v>
      </c>
      <c r="AE514" t="str">
        <f>PROPER(TRIM(AB514))</f>
        <v>Completed</v>
      </c>
      <c r="AS514" t="str">
        <f t="shared" si="9"/>
        <v/>
      </c>
    </row>
    <row r="515" spans="1:45">
      <c r="A515" t="s">
        <v>1635</v>
      </c>
      <c r="B515" s="7">
        <v>45835</v>
      </c>
      <c r="C515" s="4">
        <v>45695</v>
      </c>
      <c r="D515" s="10">
        <f>C515-B515</f>
        <v>-140</v>
      </c>
      <c r="E515" t="str">
        <f>TEXT(B515,"mmmm")</f>
        <v>June</v>
      </c>
      <c r="F515">
        <f>YEAR(B515)</f>
        <v>2025</v>
      </c>
      <c r="G515" t="s">
        <v>1636</v>
      </c>
      <c r="H515" t="s">
        <v>128</v>
      </c>
      <c r="I515" t="s">
        <v>90</v>
      </c>
      <c r="J515" t="s">
        <v>54</v>
      </c>
      <c r="K515" t="s">
        <v>185</v>
      </c>
      <c r="L515" t="s">
        <v>186</v>
      </c>
      <c r="M515" t="s">
        <v>74</v>
      </c>
      <c r="N515" t="s">
        <v>75</v>
      </c>
      <c r="O515" t="s">
        <v>1637</v>
      </c>
      <c r="P515" t="s">
        <v>50</v>
      </c>
      <c r="Q515">
        <v>6</v>
      </c>
      <c r="R515">
        <v>1099.49</v>
      </c>
      <c r="S515">
        <v>0.1</v>
      </c>
      <c r="T515" s="12">
        <f>S515</f>
        <v>0.1</v>
      </c>
      <c r="U515">
        <v>6212.38</v>
      </c>
      <c r="V515">
        <f>Q515*R515*(1-S515)</f>
        <v>5937.246000000001</v>
      </c>
      <c r="W515">
        <v>4088.46</v>
      </c>
      <c r="X515">
        <v>1848.79</v>
      </c>
      <c r="Y515">
        <f>V515-W515</f>
        <v>1848.786000000001</v>
      </c>
      <c r="Z515" s="12">
        <f>Y515/V515</f>
        <v>0.31138780505304997</v>
      </c>
      <c r="AA515" t="s">
        <v>32</v>
      </c>
      <c r="AB515" t="s">
        <v>33</v>
      </c>
      <c r="AC515" s="10" t="s">
        <v>2792</v>
      </c>
      <c r="AD515" t="s">
        <v>2782</v>
      </c>
      <c r="AE515" t="str">
        <f>PROPER(TRIM(AB515))</f>
        <v>Completed</v>
      </c>
      <c r="AS515" t="str">
        <f t="shared" ref="AS515:AS578" si="10">PROPER(TRIM(AD515))</f>
        <v/>
      </c>
    </row>
    <row r="516" spans="1:45">
      <c r="A516" t="s">
        <v>1638</v>
      </c>
      <c r="B516" s="7">
        <v>45614</v>
      </c>
      <c r="C516" s="4">
        <v>45618</v>
      </c>
      <c r="D516">
        <f>C516-B516</f>
        <v>4</v>
      </c>
      <c r="E516" t="str">
        <f>TEXT(B516,"mmmm")</f>
        <v>November</v>
      </c>
      <c r="F516">
        <f>YEAR(B516)</f>
        <v>2024</v>
      </c>
      <c r="G516" t="s">
        <v>1639</v>
      </c>
      <c r="H516" t="s">
        <v>23</v>
      </c>
      <c r="I516" t="s">
        <v>95</v>
      </c>
      <c r="J516" t="s">
        <v>54</v>
      </c>
      <c r="K516" t="s">
        <v>185</v>
      </c>
      <c r="L516" t="s">
        <v>186</v>
      </c>
      <c r="M516" t="s">
        <v>74</v>
      </c>
      <c r="N516" t="s">
        <v>75</v>
      </c>
      <c r="O516" t="s">
        <v>1640</v>
      </c>
      <c r="P516" t="s">
        <v>59</v>
      </c>
      <c r="Q516">
        <v>6</v>
      </c>
      <c r="R516">
        <v>3872.94</v>
      </c>
      <c r="S516">
        <v>0.1</v>
      </c>
      <c r="T516" s="12">
        <f>S516</f>
        <v>0.1</v>
      </c>
      <c r="U516">
        <v>20913.88</v>
      </c>
      <c r="V516">
        <f>Q516*R516*(1-S516)</f>
        <v>20913.876</v>
      </c>
      <c r="W516">
        <v>11684.68</v>
      </c>
      <c r="X516">
        <v>9229.2000000000007</v>
      </c>
      <c r="Y516">
        <f>V516-W516</f>
        <v>9229.1959999999999</v>
      </c>
      <c r="Z516" s="12">
        <f>Y516/V516</f>
        <v>0.44129533903710627</v>
      </c>
      <c r="AA516" t="s">
        <v>32</v>
      </c>
      <c r="AB516" t="s">
        <v>33</v>
      </c>
      <c r="AC516" s="14" t="s">
        <v>2794</v>
      </c>
      <c r="AD516" t="s">
        <v>2782</v>
      </c>
      <c r="AE516" t="str">
        <f>PROPER(TRIM(AB516))</f>
        <v>Completed</v>
      </c>
      <c r="AS516" t="str">
        <f t="shared" si="10"/>
        <v/>
      </c>
    </row>
    <row r="517" spans="1:45">
      <c r="A517" t="s">
        <v>1641</v>
      </c>
      <c r="B517" s="7">
        <v>45965</v>
      </c>
      <c r="C517" s="4">
        <v>45758</v>
      </c>
      <c r="D517" s="10">
        <f>C517-B517</f>
        <v>-207</v>
      </c>
      <c r="E517" t="str">
        <f>TEXT(B517,"mmmm")</f>
        <v>November</v>
      </c>
      <c r="F517">
        <f>YEAR(B517)</f>
        <v>2025</v>
      </c>
      <c r="G517" t="s">
        <v>1642</v>
      </c>
      <c r="H517" t="s">
        <v>118</v>
      </c>
      <c r="I517" t="s">
        <v>90</v>
      </c>
      <c r="J517" t="s">
        <v>25</v>
      </c>
      <c r="K517" t="s">
        <v>350</v>
      </c>
      <c r="L517" t="s">
        <v>351</v>
      </c>
      <c r="M517" t="s">
        <v>28</v>
      </c>
      <c r="N517" t="s">
        <v>29</v>
      </c>
      <c r="O517" t="s">
        <v>1643</v>
      </c>
      <c r="P517" t="s">
        <v>59</v>
      </c>
      <c r="Q517">
        <v>1</v>
      </c>
      <c r="R517">
        <v>4458.49</v>
      </c>
      <c r="S517">
        <v>-7.0000000000000007E-2</v>
      </c>
      <c r="T517" s="13">
        <f>S517</f>
        <v>-7.0000000000000007E-2</v>
      </c>
      <c r="U517">
        <v>3566.79</v>
      </c>
      <c r="V517">
        <f>Q517*R517*(1-S517)</f>
        <v>4770.5843000000004</v>
      </c>
      <c r="W517">
        <v>2083.41</v>
      </c>
      <c r="X517">
        <v>1483.38</v>
      </c>
      <c r="Y517">
        <f>V517-W517</f>
        <v>2687.1743000000006</v>
      </c>
      <c r="Z517" s="12">
        <f>Y517/V517</f>
        <v>0.56327991101635089</v>
      </c>
      <c r="AA517" t="s">
        <v>32</v>
      </c>
      <c r="AB517" t="s">
        <v>33</v>
      </c>
      <c r="AC517" s="10" t="s">
        <v>2792</v>
      </c>
      <c r="AD517" t="s">
        <v>2782</v>
      </c>
      <c r="AE517" t="str">
        <f>PROPER(TRIM(AB517))</f>
        <v>Completed</v>
      </c>
      <c r="AS517" t="str">
        <f t="shared" si="10"/>
        <v/>
      </c>
    </row>
    <row r="518" spans="1:45">
      <c r="A518" t="s">
        <v>1644</v>
      </c>
      <c r="B518" s="7">
        <v>45563</v>
      </c>
      <c r="C518" s="4">
        <v>45569</v>
      </c>
      <c r="D518">
        <f>C518-B518</f>
        <v>6</v>
      </c>
      <c r="E518" t="str">
        <f>TEXT(B518,"mmmm")</f>
        <v>September</v>
      </c>
      <c r="F518">
        <f>YEAR(B518)</f>
        <v>2024</v>
      </c>
      <c r="G518" t="s">
        <v>1645</v>
      </c>
      <c r="H518" t="s">
        <v>264</v>
      </c>
      <c r="I518" t="s">
        <v>95</v>
      </c>
      <c r="J518" t="s">
        <v>25</v>
      </c>
      <c r="K518" t="s">
        <v>350</v>
      </c>
      <c r="L518" t="s">
        <v>351</v>
      </c>
      <c r="M518" t="s">
        <v>74</v>
      </c>
      <c r="N518" t="s">
        <v>80</v>
      </c>
      <c r="O518" t="s">
        <v>1646</v>
      </c>
      <c r="P518" t="s">
        <v>59</v>
      </c>
      <c r="Q518">
        <v>1</v>
      </c>
      <c r="R518">
        <v>2233.1799999999998</v>
      </c>
      <c r="S518">
        <v>0</v>
      </c>
      <c r="T518" s="12">
        <f>S518</f>
        <v>0</v>
      </c>
      <c r="U518">
        <v>2233.1799999999998</v>
      </c>
      <c r="V518">
        <f>Q518*R518*(1-S518)</f>
        <v>2233.1799999999998</v>
      </c>
      <c r="W518">
        <v>1585.82</v>
      </c>
      <c r="X518">
        <v>647.36</v>
      </c>
      <c r="Y518">
        <f>V518-W518</f>
        <v>647.3599999999999</v>
      </c>
      <c r="Z518" s="12">
        <f>Y518/V518</f>
        <v>0.28988258895386843</v>
      </c>
      <c r="AA518" t="s">
        <v>155</v>
      </c>
      <c r="AB518" t="s">
        <v>103</v>
      </c>
      <c r="AC518" s="14" t="s">
        <v>2794</v>
      </c>
      <c r="AD518" t="s">
        <v>2782</v>
      </c>
      <c r="AE518" t="str">
        <f>PROPER(TRIM(AB518))</f>
        <v>Returned</v>
      </c>
      <c r="AS518" t="str">
        <f t="shared" si="10"/>
        <v/>
      </c>
    </row>
    <row r="519" spans="1:45">
      <c r="A519" t="s">
        <v>1647</v>
      </c>
      <c r="B519" s="7">
        <v>45802</v>
      </c>
      <c r="C519" s="4">
        <v>45804</v>
      </c>
      <c r="D519">
        <f>C519-B519</f>
        <v>2</v>
      </c>
      <c r="E519" t="str">
        <f>TEXT(B519,"mmmm")</f>
        <v>May</v>
      </c>
      <c r="F519">
        <f>YEAR(B519)</f>
        <v>2025</v>
      </c>
      <c r="G519" t="s">
        <v>1648</v>
      </c>
      <c r="H519" t="s">
        <v>118</v>
      </c>
      <c r="I519" t="s">
        <v>24</v>
      </c>
      <c r="J519" t="s">
        <v>38</v>
      </c>
      <c r="K519" t="s">
        <v>39</v>
      </c>
      <c r="L519" t="s">
        <v>40</v>
      </c>
      <c r="M519" t="s">
        <v>41</v>
      </c>
      <c r="N519" t="s">
        <v>57</v>
      </c>
      <c r="O519" t="s">
        <v>1649</v>
      </c>
      <c r="P519" t="s">
        <v>31</v>
      </c>
      <c r="Q519">
        <v>7</v>
      </c>
      <c r="R519">
        <v>2123.2800000000002</v>
      </c>
      <c r="S519">
        <v>0.2</v>
      </c>
      <c r="T519" s="12">
        <f>S519</f>
        <v>0.2</v>
      </c>
      <c r="U519">
        <v>11890.37</v>
      </c>
      <c r="V519">
        <f>Q519*R519*(1-S519)</f>
        <v>11890.368000000002</v>
      </c>
      <c r="W519">
        <v>9234.5300000000007</v>
      </c>
      <c r="X519">
        <v>2655.84</v>
      </c>
      <c r="Y519">
        <f>V519-W519</f>
        <v>2655.8380000000016</v>
      </c>
      <c r="Z519" s="12">
        <f>Y519/V519</f>
        <v>0.22336045444514427</v>
      </c>
      <c r="AA519" t="s">
        <v>102</v>
      </c>
      <c r="AB519" t="s">
        <v>103</v>
      </c>
      <c r="AC519" s="14" t="s">
        <v>2794</v>
      </c>
      <c r="AD519" t="s">
        <v>2782</v>
      </c>
      <c r="AE519" t="str">
        <f>PROPER(TRIM(AB519))</f>
        <v>Returned</v>
      </c>
      <c r="AS519" t="str">
        <f t="shared" si="10"/>
        <v/>
      </c>
    </row>
    <row r="520" spans="1:45">
      <c r="A520" t="s">
        <v>1650</v>
      </c>
      <c r="B520" s="7">
        <v>45777</v>
      </c>
      <c r="C520" s="4">
        <v>45773</v>
      </c>
      <c r="D520" s="10">
        <f>C520-B520</f>
        <v>-4</v>
      </c>
      <c r="E520" t="str">
        <f>TEXT(B520,"mmmm")</f>
        <v>April</v>
      </c>
      <c r="F520">
        <f>YEAR(B520)</f>
        <v>2025</v>
      </c>
      <c r="G520" t="s">
        <v>1651</v>
      </c>
      <c r="H520" t="s">
        <v>162</v>
      </c>
      <c r="I520" t="s">
        <v>90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t="s">
        <v>1652</v>
      </c>
      <c r="P520" t="s">
        <v>50</v>
      </c>
      <c r="Q520">
        <v>7</v>
      </c>
      <c r="R520">
        <v>1604.13</v>
      </c>
      <c r="S520">
        <v>0.25</v>
      </c>
      <c r="T520" s="12">
        <f>S520</f>
        <v>0.25</v>
      </c>
      <c r="U520">
        <v>8421.68</v>
      </c>
      <c r="V520">
        <f>Q520*R520*(1-S520)</f>
        <v>8421.682499999999</v>
      </c>
      <c r="W520">
        <v>6534.47</v>
      </c>
      <c r="X520">
        <v>1887.21</v>
      </c>
      <c r="Y520">
        <f>V520-W520</f>
        <v>1887.2124999999987</v>
      </c>
      <c r="Z520" s="12">
        <f>Y520/V520</f>
        <v>0.22408972316398759</v>
      </c>
      <c r="AA520" t="s">
        <v>32</v>
      </c>
      <c r="AB520" t="s">
        <v>68</v>
      </c>
      <c r="AC520" s="10" t="s">
        <v>2792</v>
      </c>
      <c r="AD520" t="s">
        <v>2782</v>
      </c>
      <c r="AE520" t="str">
        <f>PROPER(TRIM(AB520))</f>
        <v>Cancelled</v>
      </c>
      <c r="AS520" t="str">
        <f t="shared" si="10"/>
        <v/>
      </c>
    </row>
    <row r="521" spans="1:45">
      <c r="A521" t="s">
        <v>1653</v>
      </c>
      <c r="B521" s="7">
        <v>45841</v>
      </c>
      <c r="C521" s="4">
        <v>45845</v>
      </c>
      <c r="D521">
        <f>C521-B521</f>
        <v>4</v>
      </c>
      <c r="E521" t="str">
        <f>TEXT(B521,"mmmm")</f>
        <v>July</v>
      </c>
      <c r="F521">
        <f>YEAR(B521)</f>
        <v>2025</v>
      </c>
      <c r="G521" t="s">
        <v>1654</v>
      </c>
      <c r="H521" t="s">
        <v>114</v>
      </c>
      <c r="I521" t="s">
        <v>24</v>
      </c>
      <c r="J521" t="s">
        <v>25</v>
      </c>
      <c r="K521" t="s">
        <v>136</v>
      </c>
      <c r="L521" t="s">
        <v>137</v>
      </c>
      <c r="M521" t="s">
        <v>41</v>
      </c>
      <c r="N521" t="s">
        <v>42</v>
      </c>
      <c r="O521" t="s">
        <v>1655</v>
      </c>
      <c r="P521" t="s">
        <v>59</v>
      </c>
      <c r="Q521">
        <v>4</v>
      </c>
      <c r="R521">
        <v>4365.21</v>
      </c>
      <c r="S521">
        <v>0.2</v>
      </c>
      <c r="T521" s="12">
        <f>S521</f>
        <v>0.2</v>
      </c>
      <c r="U521">
        <v>13968.67</v>
      </c>
      <c r="V521">
        <f>Q521*R521*(1-S521)</f>
        <v>13968.672</v>
      </c>
      <c r="W521">
        <v>8857.58</v>
      </c>
      <c r="X521">
        <v>5111.09</v>
      </c>
      <c r="Y521">
        <f>V521-W521</f>
        <v>5111.0920000000006</v>
      </c>
      <c r="Z521" s="12">
        <f>Y521/V521</f>
        <v>0.36589677243477409</v>
      </c>
      <c r="AA521" t="s">
        <v>111</v>
      </c>
      <c r="AB521" t="s">
        <v>68</v>
      </c>
      <c r="AC521" s="14" t="s">
        <v>2794</v>
      </c>
      <c r="AD521" t="s">
        <v>2782</v>
      </c>
      <c r="AE521" t="str">
        <f>PROPER(TRIM(AB521))</f>
        <v>Cancelled</v>
      </c>
      <c r="AS521" t="str">
        <f t="shared" si="10"/>
        <v/>
      </c>
    </row>
    <row r="522" spans="1:45">
      <c r="A522" t="s">
        <v>1656</v>
      </c>
      <c r="B522" s="7">
        <v>45489</v>
      </c>
      <c r="C522" s="4">
        <v>45496</v>
      </c>
      <c r="D522">
        <f>C522-B522</f>
        <v>7</v>
      </c>
      <c r="E522" t="str">
        <f>TEXT(B522,"mmmm")</f>
        <v>July</v>
      </c>
      <c r="F522">
        <f>YEAR(B522)</f>
        <v>2024</v>
      </c>
      <c r="G522" t="s">
        <v>1657</v>
      </c>
      <c r="H522" t="s">
        <v>128</v>
      </c>
      <c r="I522" t="s">
        <v>95</v>
      </c>
      <c r="J522" t="s">
        <v>54</v>
      </c>
      <c r="K522" t="s">
        <v>175</v>
      </c>
      <c r="L522" t="s">
        <v>176</v>
      </c>
      <c r="M522" t="s">
        <v>74</v>
      </c>
      <c r="N522" t="s">
        <v>274</v>
      </c>
      <c r="O522" t="s">
        <v>1658</v>
      </c>
      <c r="P522" t="s">
        <v>44</v>
      </c>
      <c r="Q522">
        <v>1</v>
      </c>
      <c r="R522">
        <v>1695.91</v>
      </c>
      <c r="S522">
        <v>0.05</v>
      </c>
      <c r="T522" s="12">
        <f>S522</f>
        <v>0.05</v>
      </c>
      <c r="U522">
        <v>1611.11</v>
      </c>
      <c r="V522">
        <f>Q522*R522*(1-S522)</f>
        <v>1611.1144999999999</v>
      </c>
      <c r="W522">
        <v>895.15</v>
      </c>
      <c r="X522">
        <v>715.96</v>
      </c>
      <c r="Y522">
        <f>V522-W522</f>
        <v>715.96449999999993</v>
      </c>
      <c r="Z522" s="12">
        <f>Y522/V522</f>
        <v>0.44439082386757739</v>
      </c>
      <c r="AA522" t="s">
        <v>32</v>
      </c>
      <c r="AB522" t="s">
        <v>33</v>
      </c>
      <c r="AC522" s="14" t="s">
        <v>2794</v>
      </c>
      <c r="AD522" t="s">
        <v>2782</v>
      </c>
      <c r="AE522" t="str">
        <f>PROPER(TRIM(AB522))</f>
        <v>Completed</v>
      </c>
      <c r="AS522" t="str">
        <f t="shared" si="10"/>
        <v/>
      </c>
    </row>
    <row r="523" spans="1:45">
      <c r="A523" t="s">
        <v>1659</v>
      </c>
      <c r="B523" s="7">
        <v>45741</v>
      </c>
      <c r="C523" s="4">
        <v>45748</v>
      </c>
      <c r="D523">
        <f>C523-B523</f>
        <v>7</v>
      </c>
      <c r="E523" t="str">
        <f>TEXT(B523,"mmmm")</f>
        <v>March</v>
      </c>
      <c r="F523">
        <f>YEAR(B523)</f>
        <v>2025</v>
      </c>
      <c r="G523" t="s">
        <v>1660</v>
      </c>
      <c r="H523" t="s">
        <v>162</v>
      </c>
      <c r="I523" t="s">
        <v>24</v>
      </c>
      <c r="J523" t="s">
        <v>25</v>
      </c>
      <c r="K523" t="s">
        <v>122</v>
      </c>
      <c r="L523" t="s">
        <v>123</v>
      </c>
      <c r="M523" t="s">
        <v>28</v>
      </c>
      <c r="N523" t="s">
        <v>91</v>
      </c>
      <c r="O523" t="s">
        <v>1661</v>
      </c>
      <c r="P523" t="s">
        <v>31</v>
      </c>
      <c r="Q523">
        <v>6</v>
      </c>
      <c r="R523">
        <v>2192.11</v>
      </c>
      <c r="S523">
        <v>0.05</v>
      </c>
      <c r="T523" s="12">
        <f>S523</f>
        <v>0.05</v>
      </c>
      <c r="U523">
        <v>12495.03</v>
      </c>
      <c r="V523">
        <f>Q523*R523*(1-S523)</f>
        <v>12495.027</v>
      </c>
      <c r="W523">
        <v>9184.52</v>
      </c>
      <c r="X523">
        <v>3310.51</v>
      </c>
      <c r="Y523">
        <f>V523-W523</f>
        <v>3310.5069999999996</v>
      </c>
      <c r="Z523" s="12">
        <f>Y523/V523</f>
        <v>0.26494596610315446</v>
      </c>
      <c r="AA523" t="s">
        <v>32</v>
      </c>
      <c r="AB523" t="s">
        <v>33</v>
      </c>
      <c r="AC523" s="14" t="s">
        <v>2794</v>
      </c>
      <c r="AD523" t="s">
        <v>2782</v>
      </c>
      <c r="AE523" t="str">
        <f>PROPER(TRIM(AB523))</f>
        <v>Completed</v>
      </c>
      <c r="AS523" t="str">
        <f t="shared" si="10"/>
        <v/>
      </c>
    </row>
    <row r="524" spans="1:45">
      <c r="A524" t="s">
        <v>1662</v>
      </c>
      <c r="B524" s="7">
        <v>45716</v>
      </c>
      <c r="C524" s="4">
        <v>45724</v>
      </c>
      <c r="D524">
        <f>C524-B524</f>
        <v>8</v>
      </c>
      <c r="E524" t="str">
        <f>TEXT(B524,"mmmm")</f>
        <v>February</v>
      </c>
      <c r="F524">
        <f>YEAR(B524)</f>
        <v>2025</v>
      </c>
      <c r="G524" t="s">
        <v>1663</v>
      </c>
      <c r="H524" t="s">
        <v>79</v>
      </c>
      <c r="I524" t="s">
        <v>37</v>
      </c>
      <c r="J524" t="s">
        <v>38</v>
      </c>
      <c r="K524" t="s">
        <v>228</v>
      </c>
      <c r="L524" t="s">
        <v>229</v>
      </c>
      <c r="M524" t="s">
        <v>74</v>
      </c>
      <c r="N524" t="s">
        <v>171</v>
      </c>
      <c r="O524" t="s">
        <v>1664</v>
      </c>
      <c r="P524" t="s">
        <v>50</v>
      </c>
      <c r="Q524">
        <v>9</v>
      </c>
      <c r="R524">
        <v>3670.54</v>
      </c>
      <c r="S524">
        <v>0</v>
      </c>
      <c r="T524" s="12">
        <f>S524</f>
        <v>0</v>
      </c>
      <c r="U524">
        <v>33034.86</v>
      </c>
      <c r="V524">
        <f>Q524*R524*(1-S524)</f>
        <v>33034.86</v>
      </c>
      <c r="W524">
        <v>24539.83</v>
      </c>
      <c r="X524">
        <v>8495.0300000000007</v>
      </c>
      <c r="Y524">
        <f>V524-W524</f>
        <v>8495.0299999999988</v>
      </c>
      <c r="Z524" s="12">
        <f>Y524/V524</f>
        <v>0.25715350390466307</v>
      </c>
      <c r="AA524" t="s">
        <v>32</v>
      </c>
      <c r="AB524" t="s">
        <v>33</v>
      </c>
      <c r="AC524" s="14" t="s">
        <v>2794</v>
      </c>
      <c r="AD524" t="s">
        <v>2782</v>
      </c>
      <c r="AE524" t="str">
        <f>PROPER(TRIM(AB524))</f>
        <v>Completed</v>
      </c>
      <c r="AS524" t="str">
        <f t="shared" si="10"/>
        <v/>
      </c>
    </row>
    <row r="525" spans="1:45">
      <c r="A525" t="s">
        <v>1665</v>
      </c>
      <c r="B525" s="7">
        <v>45384</v>
      </c>
      <c r="C525" s="4">
        <v>45385</v>
      </c>
      <c r="D525">
        <f>C525-B525</f>
        <v>1</v>
      </c>
      <c r="E525" t="str">
        <f>TEXT(B525,"mmmm")</f>
        <v>April</v>
      </c>
      <c r="F525">
        <f>YEAR(B525)</f>
        <v>2024</v>
      </c>
      <c r="G525" t="s">
        <v>1666</v>
      </c>
      <c r="H525" t="s">
        <v>264</v>
      </c>
      <c r="I525" t="s">
        <v>95</v>
      </c>
      <c r="J525" t="s">
        <v>63</v>
      </c>
      <c r="K525" t="s">
        <v>190</v>
      </c>
      <c r="L525" t="s">
        <v>191</v>
      </c>
      <c r="M525" t="s">
        <v>28</v>
      </c>
      <c r="N525" t="s">
        <v>29</v>
      </c>
      <c r="O525" t="s">
        <v>1667</v>
      </c>
      <c r="P525" t="s">
        <v>31</v>
      </c>
      <c r="Q525">
        <v>2</v>
      </c>
      <c r="R525">
        <v>2902.63</v>
      </c>
      <c r="S525">
        <v>0</v>
      </c>
      <c r="T525" s="12">
        <f>S525</f>
        <v>0</v>
      </c>
      <c r="U525">
        <v>5805.26</v>
      </c>
      <c r="V525">
        <f>Q525*R525*(1-S525)</f>
        <v>5805.26</v>
      </c>
      <c r="W525">
        <v>4654.3599999999997</v>
      </c>
      <c r="X525">
        <v>1150.9000000000001</v>
      </c>
      <c r="Y525">
        <f>V525-W525</f>
        <v>1150.9000000000005</v>
      </c>
      <c r="Z525" s="12">
        <f>Y525/V525</f>
        <v>0.19825124111581574</v>
      </c>
      <c r="AA525" t="s">
        <v>32</v>
      </c>
      <c r="AB525" t="s">
        <v>103</v>
      </c>
      <c r="AC525" s="14" t="s">
        <v>2794</v>
      </c>
      <c r="AD525" t="s">
        <v>2782</v>
      </c>
      <c r="AE525" t="str">
        <f>PROPER(TRIM(AB525))</f>
        <v>Returned</v>
      </c>
      <c r="AS525" t="str">
        <f t="shared" si="10"/>
        <v/>
      </c>
    </row>
    <row r="526" spans="1:45">
      <c r="A526" t="s">
        <v>1668</v>
      </c>
      <c r="B526" s="7">
        <v>45626</v>
      </c>
      <c r="C526" s="4">
        <v>45627</v>
      </c>
      <c r="D526">
        <f>C526-B526</f>
        <v>1</v>
      </c>
      <c r="E526" t="str">
        <f>TEXT(B526,"mmmm")</f>
        <v>November</v>
      </c>
      <c r="F526">
        <f>YEAR(B526)</f>
        <v>2024</v>
      </c>
      <c r="G526" t="s">
        <v>1669</v>
      </c>
      <c r="H526" t="s">
        <v>62</v>
      </c>
      <c r="I526" t="s">
        <v>90</v>
      </c>
      <c r="J526" t="s">
        <v>63</v>
      </c>
      <c r="K526" t="s">
        <v>180</v>
      </c>
      <c r="L526" t="s">
        <v>181</v>
      </c>
      <c r="M526" t="s">
        <v>41</v>
      </c>
      <c r="N526" t="s">
        <v>66</v>
      </c>
      <c r="O526" t="s">
        <v>1670</v>
      </c>
      <c r="P526" t="s">
        <v>50</v>
      </c>
      <c r="Q526">
        <v>9</v>
      </c>
      <c r="R526">
        <v>4207.3599999999997</v>
      </c>
      <c r="S526">
        <v>0.1</v>
      </c>
      <c r="T526" s="12">
        <f>S526</f>
        <v>0.1</v>
      </c>
      <c r="U526">
        <v>34079.620000000003</v>
      </c>
      <c r="V526">
        <f>Q526*R526*(1-S526)</f>
        <v>34079.616000000002</v>
      </c>
      <c r="W526">
        <v>21871.39</v>
      </c>
      <c r="X526">
        <v>12208.23</v>
      </c>
      <c r="Y526">
        <f>V526-W526</f>
        <v>12208.226000000002</v>
      </c>
      <c r="Z526" s="12">
        <f>Y526/V526</f>
        <v>0.35822663025311091</v>
      </c>
      <c r="AA526" t="s">
        <v>32</v>
      </c>
      <c r="AB526" t="s">
        <v>33</v>
      </c>
      <c r="AC526" s="14" t="s">
        <v>2794</v>
      </c>
      <c r="AD526" t="s">
        <v>2782</v>
      </c>
      <c r="AE526" t="str">
        <f>PROPER(TRIM(AB526))</f>
        <v>Completed</v>
      </c>
      <c r="AS526" t="str">
        <f t="shared" si="10"/>
        <v/>
      </c>
    </row>
    <row r="527" spans="1:45">
      <c r="A527" t="s">
        <v>1671</v>
      </c>
      <c r="B527" s="7">
        <v>45582</v>
      </c>
      <c r="C527" s="4">
        <v>45582</v>
      </c>
      <c r="D527">
        <f>C527-B527</f>
        <v>0</v>
      </c>
      <c r="E527" t="str">
        <f>TEXT(B527,"mmmm")</f>
        <v>October</v>
      </c>
      <c r="F527">
        <f>YEAR(B527)</f>
        <v>2024</v>
      </c>
      <c r="G527" t="s">
        <v>1672</v>
      </c>
      <c r="H527" t="s">
        <v>114</v>
      </c>
      <c r="I527" t="s">
        <v>95</v>
      </c>
      <c r="J527" t="s">
        <v>38</v>
      </c>
      <c r="K527" t="s">
        <v>99</v>
      </c>
      <c r="L527" t="s">
        <v>100</v>
      </c>
      <c r="M527" t="s">
        <v>41</v>
      </c>
      <c r="N527" t="s">
        <v>66</v>
      </c>
      <c r="O527" t="s">
        <v>1673</v>
      </c>
      <c r="P527" t="s">
        <v>59</v>
      </c>
      <c r="Q527">
        <v>5</v>
      </c>
      <c r="R527">
        <v>2524.4</v>
      </c>
      <c r="S527">
        <v>0.1</v>
      </c>
      <c r="T527" s="12">
        <f>S527</f>
        <v>0.1</v>
      </c>
      <c r="U527">
        <v>11359.8</v>
      </c>
      <c r="V527">
        <f>Q527*R527*(1-S527)</f>
        <v>11359.800000000001</v>
      </c>
      <c r="W527">
        <v>7062.44</v>
      </c>
      <c r="X527">
        <v>4297.3599999999997</v>
      </c>
      <c r="Y527">
        <f>V527-W527</f>
        <v>4297.3600000000015</v>
      </c>
      <c r="Z527" s="12">
        <f>Y527/V527</f>
        <v>0.37829539252451638</v>
      </c>
      <c r="AA527" t="s">
        <v>32</v>
      </c>
      <c r="AB527" t="s">
        <v>33</v>
      </c>
      <c r="AC527" s="14" t="s">
        <v>2794</v>
      </c>
      <c r="AD527" t="s">
        <v>2782</v>
      </c>
      <c r="AE527" t="str">
        <f>PROPER(TRIM(AB527))</f>
        <v>Completed</v>
      </c>
      <c r="AS527" t="str">
        <f t="shared" si="10"/>
        <v/>
      </c>
    </row>
    <row r="528" spans="1:45">
      <c r="A528" t="s">
        <v>1674</v>
      </c>
      <c r="B528" s="7">
        <v>45856</v>
      </c>
      <c r="C528" s="4">
        <v>45859</v>
      </c>
      <c r="D528">
        <f>C528-B528</f>
        <v>3</v>
      </c>
      <c r="E528" t="str">
        <f>TEXT(B528,"mmmm")</f>
        <v>July</v>
      </c>
      <c r="F528">
        <f>YEAR(B528)</f>
        <v>2025</v>
      </c>
      <c r="G528" t="s">
        <v>1675</v>
      </c>
      <c r="H528" t="s">
        <v>114</v>
      </c>
      <c r="I528" t="s">
        <v>24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t="s">
        <v>1676</v>
      </c>
      <c r="P528" t="s">
        <v>31</v>
      </c>
      <c r="Q528">
        <v>4</v>
      </c>
      <c r="R528">
        <v>284.04000000000002</v>
      </c>
      <c r="S528">
        <v>0</v>
      </c>
      <c r="T528" s="12">
        <f>S528</f>
        <v>0</v>
      </c>
      <c r="U528">
        <v>908.93</v>
      </c>
      <c r="V528">
        <f>Q528*R528*(1-S528)</f>
        <v>1136.1600000000001</v>
      </c>
      <c r="W528">
        <v>572.08000000000004</v>
      </c>
      <c r="X528">
        <v>336.85</v>
      </c>
      <c r="Y528">
        <f>V528-W528</f>
        <v>564.08000000000004</v>
      </c>
      <c r="Z528" s="12">
        <f>Y528/V528</f>
        <v>0.49647936910294327</v>
      </c>
      <c r="AA528" t="s">
        <v>32</v>
      </c>
      <c r="AB528" t="s">
        <v>33</v>
      </c>
      <c r="AC528" s="14" t="s">
        <v>2794</v>
      </c>
      <c r="AD528" t="s">
        <v>2782</v>
      </c>
      <c r="AE528" t="str">
        <f>PROPER(TRIM(AB528))</f>
        <v>Completed</v>
      </c>
      <c r="AS528" t="str">
        <f t="shared" si="10"/>
        <v/>
      </c>
    </row>
    <row r="529" spans="1:45">
      <c r="A529" t="s">
        <v>1677</v>
      </c>
      <c r="B529" s="7">
        <v>45931</v>
      </c>
      <c r="C529" s="4">
        <v>45935</v>
      </c>
      <c r="D529">
        <f>C529-B529</f>
        <v>4</v>
      </c>
      <c r="E529" t="str">
        <f>TEXT(B529,"mmmm")</f>
        <v>October</v>
      </c>
      <c r="F529">
        <f>YEAR(B529)</f>
        <v>2025</v>
      </c>
      <c r="G529" t="s">
        <v>1678</v>
      </c>
      <c r="H529" t="s">
        <v>89</v>
      </c>
      <c r="I529" t="s">
        <v>95</v>
      </c>
      <c r="J529" t="s">
        <v>25</v>
      </c>
      <c r="K529" t="s">
        <v>236</v>
      </c>
      <c r="L529" t="s">
        <v>237</v>
      </c>
      <c r="M529" t="s">
        <v>28</v>
      </c>
      <c r="N529" t="s">
        <v>29</v>
      </c>
      <c r="O529" t="s">
        <v>1679</v>
      </c>
      <c r="P529" t="s">
        <v>50</v>
      </c>
      <c r="Q529">
        <v>5</v>
      </c>
      <c r="R529">
        <v>3247.56</v>
      </c>
      <c r="S529">
        <v>0.15</v>
      </c>
      <c r="T529" s="12">
        <f>S529</f>
        <v>0.15</v>
      </c>
      <c r="U529">
        <v>13802.13</v>
      </c>
      <c r="V529">
        <f>Q529*R529*(1-S529)</f>
        <v>13802.13</v>
      </c>
      <c r="W529">
        <v>10075.93</v>
      </c>
      <c r="X529">
        <v>3726.2</v>
      </c>
      <c r="Y529">
        <f>V529-W529</f>
        <v>3726.1999999999989</v>
      </c>
      <c r="Z529" s="12">
        <f>Y529/V529</f>
        <v>0.26997282303528508</v>
      </c>
      <c r="AA529" t="s">
        <v>32</v>
      </c>
      <c r="AB529" t="s">
        <v>33</v>
      </c>
      <c r="AC529" s="14" t="s">
        <v>2794</v>
      </c>
      <c r="AD529" t="s">
        <v>2782</v>
      </c>
      <c r="AE529" t="str">
        <f>PROPER(TRIM(AB529))</f>
        <v>Completed</v>
      </c>
      <c r="AS529" t="str">
        <f t="shared" si="10"/>
        <v/>
      </c>
    </row>
    <row r="530" spans="1:45">
      <c r="A530" t="s">
        <v>1680</v>
      </c>
      <c r="B530" s="7">
        <v>45572</v>
      </c>
      <c r="C530" s="4">
        <v>45574</v>
      </c>
      <c r="D530">
        <f>C530-B530</f>
        <v>2</v>
      </c>
      <c r="E530" t="str">
        <f>TEXT(B530,"mmmm")</f>
        <v>October</v>
      </c>
      <c r="F530">
        <f>YEAR(B530)</f>
        <v>2024</v>
      </c>
      <c r="G530" t="s">
        <v>1681</v>
      </c>
      <c r="H530" t="s">
        <v>162</v>
      </c>
      <c r="I530" t="s">
        <v>24</v>
      </c>
      <c r="J530" t="s">
        <v>54</v>
      </c>
      <c r="K530" t="s">
        <v>247</v>
      </c>
      <c r="L530" t="s">
        <v>248</v>
      </c>
      <c r="M530" t="s">
        <v>28</v>
      </c>
      <c r="N530" t="s">
        <v>153</v>
      </c>
      <c r="O530" t="s">
        <v>1682</v>
      </c>
      <c r="P530" t="s">
        <v>59</v>
      </c>
      <c r="Q530">
        <v>9</v>
      </c>
      <c r="R530">
        <v>3457.09</v>
      </c>
      <c r="S530">
        <v>0.05</v>
      </c>
      <c r="T530" s="12">
        <f>S530</f>
        <v>0.05</v>
      </c>
      <c r="U530">
        <v>29558.12</v>
      </c>
      <c r="V530">
        <f>Q530*R530*(1-S530)</f>
        <v>29558.119500000001</v>
      </c>
      <c r="W530">
        <v>21302.13</v>
      </c>
      <c r="X530">
        <v>8255.99</v>
      </c>
      <c r="Y530">
        <f>V530-W530</f>
        <v>8255.9894999999997</v>
      </c>
      <c r="Z530" s="12">
        <f>Y530/V530</f>
        <v>0.27931376013281223</v>
      </c>
      <c r="AA530" t="s">
        <v>111</v>
      </c>
      <c r="AB530" t="s">
        <v>103</v>
      </c>
      <c r="AC530" s="14" t="s">
        <v>2794</v>
      </c>
      <c r="AD530" t="s">
        <v>2782</v>
      </c>
      <c r="AE530" t="str">
        <f>PROPER(TRIM(AB530))</f>
        <v>Returned</v>
      </c>
      <c r="AS530" t="str">
        <f t="shared" si="10"/>
        <v/>
      </c>
    </row>
    <row r="531" spans="1:45">
      <c r="A531" t="s">
        <v>1683</v>
      </c>
      <c r="B531" s="7">
        <v>45328</v>
      </c>
      <c r="C531" s="4">
        <v>45330</v>
      </c>
      <c r="D531">
        <f>C531-B531</f>
        <v>2</v>
      </c>
      <c r="E531" t="str">
        <f>TEXT(B531,"mmmm")</f>
        <v>February</v>
      </c>
      <c r="F531">
        <f>YEAR(B531)</f>
        <v>2024</v>
      </c>
      <c r="G531" t="s">
        <v>728</v>
      </c>
      <c r="H531" t="s">
        <v>23</v>
      </c>
      <c r="I531" t="s">
        <v>24</v>
      </c>
      <c r="J531" t="s">
        <v>38</v>
      </c>
      <c r="K531" t="s">
        <v>228</v>
      </c>
      <c r="L531" t="s">
        <v>229</v>
      </c>
      <c r="M531" t="s">
        <v>41</v>
      </c>
      <c r="N531" t="s">
        <v>158</v>
      </c>
      <c r="O531" t="s">
        <v>1684</v>
      </c>
      <c r="P531" t="s">
        <v>31</v>
      </c>
      <c r="Q531">
        <v>9</v>
      </c>
      <c r="R531">
        <v>1822.25</v>
      </c>
      <c r="S531">
        <v>0</v>
      </c>
      <c r="T531" s="12">
        <f>S531</f>
        <v>0</v>
      </c>
      <c r="U531">
        <v>16400.25</v>
      </c>
      <c r="V531">
        <f>Q531*R531*(1-S531)</f>
        <v>16400.25</v>
      </c>
      <c r="W531">
        <v>12146.96</v>
      </c>
      <c r="X531">
        <v>4253.29</v>
      </c>
      <c r="Y531">
        <f>V531-W531</f>
        <v>4253.2900000000009</v>
      </c>
      <c r="Z531" s="12">
        <f>Y531/V531</f>
        <v>0.25934299782015524</v>
      </c>
      <c r="AA531" t="s">
        <v>32</v>
      </c>
      <c r="AB531" t="s">
        <v>33</v>
      </c>
      <c r="AC531" s="14" t="s">
        <v>2794</v>
      </c>
      <c r="AD531" t="s">
        <v>2782</v>
      </c>
      <c r="AE531" t="str">
        <f>PROPER(TRIM(AB531))</f>
        <v>Completed</v>
      </c>
      <c r="AS531" t="str">
        <f t="shared" si="10"/>
        <v/>
      </c>
    </row>
    <row r="532" spans="1:45">
      <c r="A532" t="s">
        <v>1685</v>
      </c>
      <c r="B532" s="7">
        <v>45807</v>
      </c>
      <c r="C532" s="4">
        <v>45809</v>
      </c>
      <c r="D532">
        <f>C532-B532</f>
        <v>2</v>
      </c>
      <c r="E532" t="str">
        <f>TEXT(B532,"mmmm")</f>
        <v>May</v>
      </c>
      <c r="F532">
        <f>YEAR(B532)</f>
        <v>2025</v>
      </c>
      <c r="G532" t="s">
        <v>1686</v>
      </c>
      <c r="H532" t="s">
        <v>118</v>
      </c>
      <c r="I532" t="s">
        <v>95</v>
      </c>
      <c r="J532" t="s">
        <v>54</v>
      </c>
      <c r="K532" t="s">
        <v>247</v>
      </c>
      <c r="L532" t="s">
        <v>248</v>
      </c>
      <c r="M532" t="s">
        <v>28</v>
      </c>
      <c r="N532" t="s">
        <v>153</v>
      </c>
      <c r="O532" t="s">
        <v>1687</v>
      </c>
      <c r="P532" t="s">
        <v>59</v>
      </c>
      <c r="Q532">
        <v>9</v>
      </c>
      <c r="R532">
        <v>1994.51</v>
      </c>
      <c r="S532">
        <v>0.05</v>
      </c>
      <c r="T532" s="12">
        <f>S532</f>
        <v>0.05</v>
      </c>
      <c r="U532">
        <v>17053.060000000001</v>
      </c>
      <c r="V532">
        <f>Q532*R532*(1-S532)</f>
        <v>17053.0605</v>
      </c>
      <c r="W532">
        <v>10742.38</v>
      </c>
      <c r="X532">
        <v>6310.68</v>
      </c>
      <c r="Y532">
        <f>V532-W532</f>
        <v>6310.6805000000004</v>
      </c>
      <c r="Z532" s="12">
        <f>Y532/V532</f>
        <v>0.37006146198801093</v>
      </c>
      <c r="AA532" t="s">
        <v>32</v>
      </c>
      <c r="AB532" t="s">
        <v>33</v>
      </c>
      <c r="AC532" s="14" t="s">
        <v>2794</v>
      </c>
      <c r="AD532" t="s">
        <v>2782</v>
      </c>
      <c r="AE532" t="str">
        <f>PROPER(TRIM(AB532))</f>
        <v>Completed</v>
      </c>
      <c r="AS532" t="str">
        <f t="shared" si="10"/>
        <v/>
      </c>
    </row>
    <row r="533" spans="1:45">
      <c r="A533" t="s">
        <v>1688</v>
      </c>
      <c r="B533" s="7">
        <v>45505</v>
      </c>
      <c r="C533" s="4">
        <v>45512</v>
      </c>
      <c r="D533">
        <f>C533-B533</f>
        <v>7</v>
      </c>
      <c r="E533" t="str">
        <f>TEXT(B533,"mmmm")</f>
        <v>August</v>
      </c>
      <c r="F533">
        <f>YEAR(B533)</f>
        <v>2024</v>
      </c>
      <c r="G533" t="s">
        <v>1689</v>
      </c>
      <c r="H533" t="s">
        <v>162</v>
      </c>
      <c r="I533" t="s">
        <v>37</v>
      </c>
      <c r="J533" t="s">
        <v>63</v>
      </c>
      <c r="K533" t="s">
        <v>64</v>
      </c>
      <c r="L533" t="s">
        <v>65</v>
      </c>
      <c r="M533" t="s">
        <v>28</v>
      </c>
      <c r="N533" t="s">
        <v>124</v>
      </c>
      <c r="O533" t="s">
        <v>1690</v>
      </c>
      <c r="P533" t="s">
        <v>2783</v>
      </c>
      <c r="Q533">
        <v>1</v>
      </c>
      <c r="R533">
        <v>442.97</v>
      </c>
      <c r="S533">
        <v>0.1</v>
      </c>
      <c r="T533" s="12">
        <f>S533</f>
        <v>0.1</v>
      </c>
      <c r="U533">
        <v>398.67</v>
      </c>
      <c r="V533">
        <f>Q533*R533*(1-S533)</f>
        <v>398.67300000000006</v>
      </c>
      <c r="W533">
        <v>311.66000000000003</v>
      </c>
      <c r="X533">
        <v>87.01</v>
      </c>
      <c r="Y533">
        <f>V533-W533</f>
        <v>87.013000000000034</v>
      </c>
      <c r="Z533" s="12">
        <f>Y533/V533</f>
        <v>0.21825656615822997</v>
      </c>
      <c r="AA533" t="s">
        <v>32</v>
      </c>
      <c r="AB533" t="s">
        <v>33</v>
      </c>
      <c r="AC533" s="10" t="s">
        <v>2795</v>
      </c>
      <c r="AD533" t="s">
        <v>2782</v>
      </c>
      <c r="AE533" t="str">
        <f>PROPER(TRIM(AB533))</f>
        <v>Completed</v>
      </c>
      <c r="AS533" t="str">
        <f t="shared" si="10"/>
        <v/>
      </c>
    </row>
    <row r="534" spans="1:45">
      <c r="A534" t="s">
        <v>1691</v>
      </c>
      <c r="B534" s="7">
        <v>45935</v>
      </c>
      <c r="C534" s="4">
        <v>45940</v>
      </c>
      <c r="D534">
        <f>C534-B534</f>
        <v>5</v>
      </c>
      <c r="E534" t="str">
        <f>TEXT(B534,"mmmm")</f>
        <v>October</v>
      </c>
      <c r="F534">
        <f>YEAR(B534)</f>
        <v>2025</v>
      </c>
      <c r="G534" t="s">
        <v>1692</v>
      </c>
      <c r="H534" t="s">
        <v>114</v>
      </c>
      <c r="I534" t="s">
        <v>90</v>
      </c>
      <c r="J534" t="s">
        <v>38</v>
      </c>
      <c r="K534" t="s">
        <v>166</v>
      </c>
      <c r="L534" t="s">
        <v>167</v>
      </c>
      <c r="M534" t="s">
        <v>41</v>
      </c>
      <c r="N534" t="s">
        <v>42</v>
      </c>
      <c r="O534" t="s">
        <v>1693</v>
      </c>
      <c r="P534" t="s">
        <v>31</v>
      </c>
      <c r="Q534">
        <v>9</v>
      </c>
      <c r="R534">
        <v>2089.14</v>
      </c>
      <c r="S534">
        <v>0.05</v>
      </c>
      <c r="T534" s="12">
        <f>S534</f>
        <v>0.05</v>
      </c>
      <c r="U534">
        <v>17862.150000000001</v>
      </c>
      <c r="V534">
        <f>Q534*R534*(1-S534)</f>
        <v>17862.146999999997</v>
      </c>
      <c r="W534">
        <v>9892.2099999999991</v>
      </c>
      <c r="X534">
        <v>7969.94</v>
      </c>
      <c r="Y534">
        <f>V534-W534</f>
        <v>7969.9369999999981</v>
      </c>
      <c r="Z534" s="12">
        <f>Y534/V534</f>
        <v>0.44619143488182017</v>
      </c>
      <c r="AA534" t="s">
        <v>155</v>
      </c>
      <c r="AB534" t="s">
        <v>68</v>
      </c>
      <c r="AC534" s="14" t="s">
        <v>2794</v>
      </c>
      <c r="AD534" t="s">
        <v>2782</v>
      </c>
      <c r="AE534" t="str">
        <f>PROPER(TRIM(AB534))</f>
        <v>Cancelled</v>
      </c>
      <c r="AS534" t="str">
        <f t="shared" si="10"/>
        <v/>
      </c>
    </row>
    <row r="535" spans="1:45">
      <c r="A535" t="s">
        <v>1694</v>
      </c>
      <c r="B535" s="7">
        <v>45529</v>
      </c>
      <c r="C535" s="4">
        <v>45536</v>
      </c>
      <c r="D535">
        <f>C535-B535</f>
        <v>7</v>
      </c>
      <c r="E535" t="str">
        <f>TEXT(B535,"mmmm")</f>
        <v>August</v>
      </c>
      <c r="F535">
        <f>YEAR(B535)</f>
        <v>2024</v>
      </c>
      <c r="G535" t="s">
        <v>1695</v>
      </c>
      <c r="H535" t="s">
        <v>47</v>
      </c>
      <c r="I535" t="s">
        <v>95</v>
      </c>
      <c r="J535" t="s">
        <v>25</v>
      </c>
      <c r="K535" t="s">
        <v>26</v>
      </c>
      <c r="L535" t="s">
        <v>27</v>
      </c>
      <c r="M535" t="s">
        <v>41</v>
      </c>
      <c r="N535" t="s">
        <v>42</v>
      </c>
      <c r="O535" t="s">
        <v>1696</v>
      </c>
      <c r="P535" t="s">
        <v>44</v>
      </c>
      <c r="Q535">
        <v>6</v>
      </c>
      <c r="R535">
        <v>481.3</v>
      </c>
      <c r="S535">
        <v>0.25</v>
      </c>
      <c r="T535" s="12">
        <f>S535</f>
        <v>0.25</v>
      </c>
      <c r="U535">
        <v>2165.85</v>
      </c>
      <c r="V535">
        <f>Q535*R535*(1-S535)</f>
        <v>2165.8500000000004</v>
      </c>
      <c r="W535">
        <v>2124.48</v>
      </c>
      <c r="X535">
        <v>430.45</v>
      </c>
      <c r="Y535">
        <f>V535-W535</f>
        <v>41.370000000000346</v>
      </c>
      <c r="Z535" s="12">
        <f>Y535/V535</f>
        <v>1.91010457787937E-2</v>
      </c>
      <c r="AA535" t="s">
        <v>32</v>
      </c>
      <c r="AB535" t="s">
        <v>33</v>
      </c>
      <c r="AC535" s="14" t="s">
        <v>2794</v>
      </c>
      <c r="AD535" t="s">
        <v>2782</v>
      </c>
      <c r="AE535" t="str">
        <f>PROPER(TRIM(AB535))</f>
        <v>Completed</v>
      </c>
      <c r="AS535" t="str">
        <f t="shared" si="10"/>
        <v/>
      </c>
    </row>
    <row r="536" spans="1:45">
      <c r="A536" t="s">
        <v>1697</v>
      </c>
      <c r="B536" s="7">
        <v>45774</v>
      </c>
      <c r="C536" s="4">
        <v>45782</v>
      </c>
      <c r="D536">
        <f>C536-B536</f>
        <v>8</v>
      </c>
      <c r="E536" t="str">
        <f>TEXT(B536,"mmmm")</f>
        <v>April</v>
      </c>
      <c r="F536">
        <f>YEAR(B536)</f>
        <v>2025</v>
      </c>
      <c r="G536" t="s">
        <v>1698</v>
      </c>
      <c r="H536" t="s">
        <v>141</v>
      </c>
      <c r="I536" t="s">
        <v>95</v>
      </c>
      <c r="J536" t="s">
        <v>38</v>
      </c>
      <c r="K536" t="s">
        <v>145</v>
      </c>
      <c r="L536" t="s">
        <v>146</v>
      </c>
      <c r="M536" t="s">
        <v>74</v>
      </c>
      <c r="N536" t="s">
        <v>75</v>
      </c>
      <c r="O536" t="s">
        <v>1699</v>
      </c>
      <c r="P536" t="s">
        <v>31</v>
      </c>
      <c r="Q536">
        <v>4</v>
      </c>
      <c r="R536">
        <v>3963.39</v>
      </c>
      <c r="S536">
        <v>0.1</v>
      </c>
      <c r="T536" s="12">
        <f>S536</f>
        <v>0.1</v>
      </c>
      <c r="U536">
        <v>14268.2</v>
      </c>
      <c r="V536">
        <f>Q536*R536*(1-S536)</f>
        <v>14268.204</v>
      </c>
      <c r="W536">
        <v>11705.3</v>
      </c>
      <c r="X536">
        <v>2562.9</v>
      </c>
      <c r="Y536">
        <f>V536-W536</f>
        <v>2562.9040000000005</v>
      </c>
      <c r="Z536" s="12">
        <f>Y536/V536</f>
        <v>0.17962344805274724</v>
      </c>
      <c r="AA536" t="s">
        <v>111</v>
      </c>
      <c r="AB536" t="s">
        <v>103</v>
      </c>
      <c r="AC536" s="14" t="s">
        <v>2794</v>
      </c>
      <c r="AD536" t="s">
        <v>2782</v>
      </c>
      <c r="AE536" t="str">
        <f>PROPER(TRIM(AB536))</f>
        <v>Returned</v>
      </c>
      <c r="AS536" t="str">
        <f t="shared" si="10"/>
        <v/>
      </c>
    </row>
    <row r="537" spans="1:45">
      <c r="A537" t="s">
        <v>1700</v>
      </c>
      <c r="B537" s="7">
        <v>45431</v>
      </c>
      <c r="C537" s="4">
        <v>45433</v>
      </c>
      <c r="D537">
        <f>C537-B537</f>
        <v>2</v>
      </c>
      <c r="E537" t="str">
        <f>TEXT(B537,"mmmm")</f>
        <v>May</v>
      </c>
      <c r="F537">
        <f>YEAR(B537)</f>
        <v>2024</v>
      </c>
      <c r="G537" t="s">
        <v>1701</v>
      </c>
      <c r="H537" t="s">
        <v>162</v>
      </c>
      <c r="I537" t="s">
        <v>37</v>
      </c>
      <c r="J537" t="s">
        <v>63</v>
      </c>
      <c r="K537" t="s">
        <v>64</v>
      </c>
      <c r="L537" t="s">
        <v>65</v>
      </c>
      <c r="M537" t="s">
        <v>74</v>
      </c>
      <c r="N537" t="s">
        <v>80</v>
      </c>
      <c r="O537" t="s">
        <v>1702</v>
      </c>
      <c r="P537" t="s">
        <v>50</v>
      </c>
      <c r="Q537">
        <v>3</v>
      </c>
      <c r="R537">
        <v>4000.98</v>
      </c>
      <c r="S537">
        <v>0.2</v>
      </c>
      <c r="T537" s="12">
        <f>S537</f>
        <v>0.2</v>
      </c>
      <c r="U537">
        <v>9602.35</v>
      </c>
      <c r="V537">
        <f>Q537*R537*(1-S537)</f>
        <v>9602.3520000000008</v>
      </c>
      <c r="W537">
        <v>7387.57</v>
      </c>
      <c r="X537">
        <v>2214.7800000000002</v>
      </c>
      <c r="Y537">
        <f>V537-W537</f>
        <v>2214.7820000000011</v>
      </c>
      <c r="Z537" s="12">
        <f>Y537/V537</f>
        <v>0.23064994909580494</v>
      </c>
      <c r="AA537" t="s">
        <v>32</v>
      </c>
      <c r="AB537" t="s">
        <v>33</v>
      </c>
      <c r="AC537" s="14" t="s">
        <v>2794</v>
      </c>
      <c r="AD537" t="s">
        <v>2782</v>
      </c>
      <c r="AE537" t="str">
        <f>PROPER(TRIM(AB537))</f>
        <v>Completed</v>
      </c>
      <c r="AS537" t="str">
        <f t="shared" si="10"/>
        <v/>
      </c>
    </row>
    <row r="538" spans="1:45">
      <c r="A538" t="s">
        <v>1703</v>
      </c>
      <c r="B538" s="7">
        <v>45757</v>
      </c>
      <c r="C538" s="4">
        <v>45764</v>
      </c>
      <c r="D538">
        <f>C538-B538</f>
        <v>7</v>
      </c>
      <c r="E538" t="str">
        <f>TEXT(B538,"mmmm")</f>
        <v>April</v>
      </c>
      <c r="F538">
        <f>YEAR(B538)</f>
        <v>2025</v>
      </c>
      <c r="G538" t="s">
        <v>1704</v>
      </c>
      <c r="H538" t="s">
        <v>62</v>
      </c>
      <c r="I538" t="s">
        <v>37</v>
      </c>
      <c r="J538" t="s">
        <v>63</v>
      </c>
      <c r="K538" t="s">
        <v>26</v>
      </c>
      <c r="L538" t="s">
        <v>109</v>
      </c>
      <c r="M538" t="s">
        <v>41</v>
      </c>
      <c r="N538" t="s">
        <v>66</v>
      </c>
      <c r="O538" t="s">
        <v>1705</v>
      </c>
      <c r="P538" t="s">
        <v>50</v>
      </c>
      <c r="Q538">
        <v>7</v>
      </c>
      <c r="R538">
        <v>3788.9</v>
      </c>
      <c r="S538">
        <v>0.25</v>
      </c>
      <c r="T538" s="12">
        <f>S538</f>
        <v>0.25</v>
      </c>
      <c r="U538">
        <v>19891.72</v>
      </c>
      <c r="V538">
        <f>Q538*R538*(1-S538)</f>
        <v>19891.724999999999</v>
      </c>
      <c r="W538">
        <v>12295.76</v>
      </c>
      <c r="X538">
        <v>7595.96</v>
      </c>
      <c r="Y538">
        <f>V538-W538</f>
        <v>7595.9649999999983</v>
      </c>
      <c r="Z538" s="12">
        <f>Y538/V538</f>
        <v>0.38186557475533162</v>
      </c>
      <c r="AA538" t="s">
        <v>155</v>
      </c>
      <c r="AB538" t="s">
        <v>68</v>
      </c>
      <c r="AC538" s="14" t="s">
        <v>2794</v>
      </c>
      <c r="AD538" t="s">
        <v>2782</v>
      </c>
      <c r="AE538" t="str">
        <f>PROPER(TRIM(AB538))</f>
        <v>Cancelled</v>
      </c>
      <c r="AS538" t="str">
        <f t="shared" si="10"/>
        <v/>
      </c>
    </row>
    <row r="539" spans="1:45">
      <c r="A539" t="s">
        <v>1706</v>
      </c>
      <c r="B539" s="7">
        <v>45313</v>
      </c>
      <c r="C539" s="4">
        <v>45321</v>
      </c>
      <c r="D539">
        <f>C539-B539</f>
        <v>8</v>
      </c>
      <c r="E539" t="str">
        <f>TEXT(B539,"mmmm")</f>
        <v>January</v>
      </c>
      <c r="F539">
        <f>YEAR(B539)</f>
        <v>2024</v>
      </c>
      <c r="G539" t="s">
        <v>1707</v>
      </c>
      <c r="H539" t="s">
        <v>62</v>
      </c>
      <c r="I539" t="s">
        <v>37</v>
      </c>
      <c r="J539" t="s">
        <v>25</v>
      </c>
      <c r="K539" t="s">
        <v>236</v>
      </c>
      <c r="L539" t="s">
        <v>237</v>
      </c>
      <c r="M539" t="s">
        <v>28</v>
      </c>
      <c r="N539" t="s">
        <v>48</v>
      </c>
      <c r="O539" t="s">
        <v>1708</v>
      </c>
      <c r="P539" t="s">
        <v>44</v>
      </c>
      <c r="Q539">
        <v>3</v>
      </c>
      <c r="R539">
        <v>676.37</v>
      </c>
      <c r="S539">
        <v>0.05</v>
      </c>
      <c r="T539" s="12">
        <f>S539</f>
        <v>0.05</v>
      </c>
      <c r="U539">
        <v>1927.65</v>
      </c>
      <c r="V539">
        <f>Q539*R539*(1-S539)</f>
        <v>1927.6545000000001</v>
      </c>
      <c r="W539">
        <v>1460.6</v>
      </c>
      <c r="X539">
        <v>467.05</v>
      </c>
      <c r="Y539">
        <f>V539-W539</f>
        <v>467.05450000000019</v>
      </c>
      <c r="Z539" s="12">
        <f>Y539/V539</f>
        <v>0.24229160360427668</v>
      </c>
      <c r="AA539" t="s">
        <v>155</v>
      </c>
      <c r="AB539" t="s">
        <v>68</v>
      </c>
      <c r="AC539" s="14" t="s">
        <v>2794</v>
      </c>
      <c r="AD539" t="s">
        <v>2782</v>
      </c>
      <c r="AE539" t="str">
        <f>PROPER(TRIM(AB539))</f>
        <v>Cancelled</v>
      </c>
      <c r="AS539" t="str">
        <f t="shared" si="10"/>
        <v/>
      </c>
    </row>
    <row r="540" spans="1:45">
      <c r="A540" t="s">
        <v>1709</v>
      </c>
      <c r="B540" s="7">
        <v>45560</v>
      </c>
      <c r="C540" s="4">
        <v>45566</v>
      </c>
      <c r="D540">
        <f>C540-B540</f>
        <v>6</v>
      </c>
      <c r="E540" t="str">
        <f>TEXT(B540,"mmmm")</f>
        <v>September</v>
      </c>
      <c r="F540">
        <f>YEAR(B540)</f>
        <v>2024</v>
      </c>
      <c r="G540" t="s">
        <v>1710</v>
      </c>
      <c r="H540" t="s">
        <v>162</v>
      </c>
      <c r="I540" t="s">
        <v>37</v>
      </c>
      <c r="J540" t="s">
        <v>38</v>
      </c>
      <c r="K540" t="s">
        <v>228</v>
      </c>
      <c r="L540" t="s">
        <v>229</v>
      </c>
      <c r="M540" t="s">
        <v>41</v>
      </c>
      <c r="N540" t="s">
        <v>42</v>
      </c>
      <c r="O540" t="s">
        <v>1711</v>
      </c>
      <c r="P540" t="s">
        <v>31</v>
      </c>
      <c r="Q540">
        <v>9</v>
      </c>
      <c r="R540">
        <v>3908.6</v>
      </c>
      <c r="S540">
        <v>0.15</v>
      </c>
      <c r="T540" s="12">
        <f>S540</f>
        <v>0.15</v>
      </c>
      <c r="U540">
        <v>29900.79</v>
      </c>
      <c r="V540">
        <f>Q540*R540*(1-S540)</f>
        <v>29900.79</v>
      </c>
      <c r="W540">
        <v>24650.67</v>
      </c>
      <c r="X540">
        <v>5250.12</v>
      </c>
      <c r="Y540">
        <f>V540-W540</f>
        <v>5250.1200000000026</v>
      </c>
      <c r="Z540" s="12">
        <f>Y540/V540</f>
        <v>0.17558465846554563</v>
      </c>
      <c r="AA540" t="s">
        <v>32</v>
      </c>
      <c r="AB540" t="s">
        <v>33</v>
      </c>
      <c r="AC540" s="14" t="s">
        <v>2794</v>
      </c>
      <c r="AD540" t="s">
        <v>2782</v>
      </c>
      <c r="AE540" t="str">
        <f>PROPER(TRIM(AB540))</f>
        <v>Completed</v>
      </c>
      <c r="AS540" t="str">
        <f t="shared" si="10"/>
        <v/>
      </c>
    </row>
    <row r="541" spans="1:45">
      <c r="A541" t="s">
        <v>1712</v>
      </c>
      <c r="B541" s="7">
        <v>45754</v>
      </c>
      <c r="C541" s="4">
        <v>45842</v>
      </c>
      <c r="D541">
        <f>C541-B541</f>
        <v>88</v>
      </c>
      <c r="E541" t="str">
        <f>TEXT(B541,"mmmm")</f>
        <v>April</v>
      </c>
      <c r="F541">
        <f>YEAR(B541)</f>
        <v>2025</v>
      </c>
      <c r="G541" t="s">
        <v>1713</v>
      </c>
      <c r="H541" t="s">
        <v>36</v>
      </c>
      <c r="I541" t="s">
        <v>37</v>
      </c>
      <c r="J541" t="s">
        <v>54</v>
      </c>
      <c r="K541" t="s">
        <v>247</v>
      </c>
      <c r="L541" t="s">
        <v>248</v>
      </c>
      <c r="M541" t="s">
        <v>41</v>
      </c>
      <c r="N541" t="s">
        <v>66</v>
      </c>
      <c r="O541" t="s">
        <v>1714</v>
      </c>
      <c r="P541" t="s">
        <v>59</v>
      </c>
      <c r="Q541">
        <v>3</v>
      </c>
      <c r="R541">
        <v>705.35</v>
      </c>
      <c r="S541">
        <v>0.1</v>
      </c>
      <c r="T541" s="12">
        <f>S541</f>
        <v>0.1</v>
      </c>
      <c r="U541">
        <v>1904.45</v>
      </c>
      <c r="V541">
        <f>Q541*R541*(1-S541)</f>
        <v>1904.4450000000002</v>
      </c>
      <c r="W541">
        <v>1316.54</v>
      </c>
      <c r="X541">
        <v>587.91</v>
      </c>
      <c r="Y541">
        <f>V541-W541</f>
        <v>587.9050000000002</v>
      </c>
      <c r="Z541" s="12">
        <f>Y541/V541</f>
        <v>0.30870148520960183</v>
      </c>
      <c r="AA541" t="s">
        <v>32</v>
      </c>
      <c r="AB541" t="s">
        <v>68</v>
      </c>
      <c r="AC541" s="14" t="s">
        <v>2794</v>
      </c>
      <c r="AD541" t="s">
        <v>2782</v>
      </c>
      <c r="AE541" t="str">
        <f>PROPER(TRIM(AB541))</f>
        <v>Cancelled</v>
      </c>
      <c r="AS541" t="str">
        <f t="shared" si="10"/>
        <v/>
      </c>
    </row>
    <row r="542" spans="1:45">
      <c r="A542" t="s">
        <v>1715</v>
      </c>
      <c r="B542" s="7">
        <v>45348</v>
      </c>
      <c r="C542" s="4">
        <v>45345</v>
      </c>
      <c r="D542" s="10">
        <f>C542-B542</f>
        <v>-3</v>
      </c>
      <c r="E542" t="str">
        <f>TEXT(B542,"mmmm")</f>
        <v>February</v>
      </c>
      <c r="F542">
        <f>YEAR(B542)</f>
        <v>2024</v>
      </c>
      <c r="G542" t="s">
        <v>1716</v>
      </c>
      <c r="H542" t="s">
        <v>264</v>
      </c>
      <c r="I542" t="s">
        <v>24</v>
      </c>
      <c r="J542" t="s">
        <v>63</v>
      </c>
      <c r="K542" t="s">
        <v>180</v>
      </c>
      <c r="L542" t="s">
        <v>181</v>
      </c>
      <c r="M542" t="s">
        <v>41</v>
      </c>
      <c r="N542" t="s">
        <v>57</v>
      </c>
      <c r="O542" t="s">
        <v>1717</v>
      </c>
      <c r="P542" t="s">
        <v>59</v>
      </c>
      <c r="Q542">
        <v>7</v>
      </c>
      <c r="R542">
        <v>3852.07</v>
      </c>
      <c r="S542">
        <v>0.2</v>
      </c>
      <c r="T542" s="12">
        <f>S542</f>
        <v>0.2</v>
      </c>
      <c r="U542">
        <v>21571.59</v>
      </c>
      <c r="V542">
        <f>Q542*R542*(1-S542)</f>
        <v>21571.592000000004</v>
      </c>
      <c r="W542">
        <v>17118.07</v>
      </c>
      <c r="X542">
        <v>4453.5200000000004</v>
      </c>
      <c r="Y542">
        <f>V542-W542</f>
        <v>4453.5220000000045</v>
      </c>
      <c r="Z542" s="12">
        <f>Y542/V542</f>
        <v>0.20645309813017063</v>
      </c>
      <c r="AA542" t="s">
        <v>32</v>
      </c>
      <c r="AB542" t="s">
        <v>33</v>
      </c>
      <c r="AC542" s="10" t="s">
        <v>2792</v>
      </c>
      <c r="AD542" t="s">
        <v>2782</v>
      </c>
      <c r="AE542" t="str">
        <f>PROPER(TRIM(AB542))</f>
        <v>Completed</v>
      </c>
      <c r="AS542" t="str">
        <f t="shared" si="10"/>
        <v/>
      </c>
    </row>
    <row r="543" spans="1:45">
      <c r="A543" t="s">
        <v>1718</v>
      </c>
      <c r="B543" s="7">
        <v>45846</v>
      </c>
      <c r="C543" s="4">
        <v>45847</v>
      </c>
      <c r="D543">
        <f>C543-B543</f>
        <v>1</v>
      </c>
      <c r="E543" t="str">
        <f>TEXT(B543,"mmmm")</f>
        <v>July</v>
      </c>
      <c r="F543">
        <f>YEAR(B543)</f>
        <v>2025</v>
      </c>
      <c r="G543" t="s">
        <v>1719</v>
      </c>
      <c r="H543" t="s">
        <v>132</v>
      </c>
      <c r="I543" t="s">
        <v>24</v>
      </c>
      <c r="J543" t="s">
        <v>63</v>
      </c>
      <c r="K543" t="s">
        <v>64</v>
      </c>
      <c r="L543" t="s">
        <v>65</v>
      </c>
      <c r="M543" t="s">
        <v>74</v>
      </c>
      <c r="N543" t="s">
        <v>80</v>
      </c>
      <c r="O543" t="s">
        <v>1720</v>
      </c>
      <c r="P543" t="s">
        <v>44</v>
      </c>
      <c r="Q543">
        <v>3</v>
      </c>
      <c r="R543">
        <v>2880.56</v>
      </c>
      <c r="S543">
        <v>0</v>
      </c>
      <c r="T543" s="12">
        <f>S543</f>
        <v>0</v>
      </c>
      <c r="U543">
        <v>8641.68</v>
      </c>
      <c r="V543">
        <f>Q543*R543*(1-S543)</f>
        <v>8641.68</v>
      </c>
      <c r="W543">
        <v>5747.09</v>
      </c>
      <c r="X543">
        <v>2894.59</v>
      </c>
      <c r="Y543">
        <f>V543-W543</f>
        <v>2894.59</v>
      </c>
      <c r="Z543" s="12">
        <f>Y543/V543</f>
        <v>0.33495686024013849</v>
      </c>
      <c r="AA543" t="s">
        <v>32</v>
      </c>
      <c r="AB543" t="s">
        <v>103</v>
      </c>
      <c r="AC543" s="14" t="s">
        <v>2794</v>
      </c>
      <c r="AD543" t="s">
        <v>2782</v>
      </c>
      <c r="AE543" t="str">
        <f>PROPER(TRIM(AB543))</f>
        <v>Returned</v>
      </c>
      <c r="AS543" t="str">
        <f t="shared" si="10"/>
        <v/>
      </c>
    </row>
    <row r="544" spans="1:45">
      <c r="A544" t="s">
        <v>1721</v>
      </c>
      <c r="B544" s="7">
        <v>45552</v>
      </c>
      <c r="C544" s="4">
        <v>45558</v>
      </c>
      <c r="D544">
        <f>C544-B544</f>
        <v>6</v>
      </c>
      <c r="E544" t="str">
        <f>TEXT(B544,"mmmm")</f>
        <v>September</v>
      </c>
      <c r="F544">
        <f>YEAR(B544)</f>
        <v>2024</v>
      </c>
      <c r="G544" t="s">
        <v>1722</v>
      </c>
      <c r="H544" t="s">
        <v>118</v>
      </c>
      <c r="I544" t="s">
        <v>95</v>
      </c>
      <c r="J544" t="s">
        <v>54</v>
      </c>
      <c r="K544" t="s">
        <v>185</v>
      </c>
      <c r="L544" t="s">
        <v>186</v>
      </c>
      <c r="M544" t="s">
        <v>41</v>
      </c>
      <c r="N544" t="s">
        <v>158</v>
      </c>
      <c r="O544" t="s">
        <v>1723</v>
      </c>
      <c r="P544" t="s">
        <v>31</v>
      </c>
      <c r="Q544">
        <v>3</v>
      </c>
      <c r="R544">
        <v>4067.62</v>
      </c>
      <c r="S544">
        <v>0.2</v>
      </c>
      <c r="T544" s="12">
        <f>S544</f>
        <v>0.2</v>
      </c>
      <c r="U544">
        <v>9988.5300000000007</v>
      </c>
      <c r="V544">
        <f>Q544*R544*(1-S544)</f>
        <v>9762.2880000000005</v>
      </c>
      <c r="W544">
        <v>8368.24</v>
      </c>
      <c r="X544">
        <v>1394.05</v>
      </c>
      <c r="Y544">
        <f>V544-W544</f>
        <v>1394.0480000000007</v>
      </c>
      <c r="Z544" s="12">
        <f>Y544/V544</f>
        <v>0.14279931098119628</v>
      </c>
      <c r="AA544" t="s">
        <v>32</v>
      </c>
      <c r="AB544" t="s">
        <v>68</v>
      </c>
      <c r="AC544" s="14" t="s">
        <v>2794</v>
      </c>
      <c r="AD544" t="s">
        <v>2782</v>
      </c>
      <c r="AE544" t="str">
        <f>PROPER(TRIM(AB544))</f>
        <v>Cancelled</v>
      </c>
      <c r="AS544" t="str">
        <f t="shared" si="10"/>
        <v/>
      </c>
    </row>
    <row r="545" spans="1:45">
      <c r="A545" t="s">
        <v>1724</v>
      </c>
      <c r="B545" s="7">
        <v>45487</v>
      </c>
      <c r="C545" s="4">
        <v>45493</v>
      </c>
      <c r="D545">
        <f>C545-B545</f>
        <v>6</v>
      </c>
      <c r="E545" t="str">
        <f>TEXT(B545,"mmmm")</f>
        <v>July</v>
      </c>
      <c r="F545">
        <f>YEAR(B545)</f>
        <v>2024</v>
      </c>
      <c r="G545" t="s">
        <v>1725</v>
      </c>
      <c r="H545" t="s">
        <v>36</v>
      </c>
      <c r="I545" t="s">
        <v>24</v>
      </c>
      <c r="J545" t="s">
        <v>38</v>
      </c>
      <c r="K545" t="s">
        <v>145</v>
      </c>
      <c r="L545" t="s">
        <v>146</v>
      </c>
      <c r="M545" t="s">
        <v>74</v>
      </c>
      <c r="N545" t="s">
        <v>80</v>
      </c>
      <c r="O545" t="s">
        <v>1726</v>
      </c>
      <c r="P545" t="s">
        <v>44</v>
      </c>
      <c r="Q545">
        <v>1</v>
      </c>
      <c r="R545">
        <v>492.67</v>
      </c>
      <c r="S545">
        <v>0.15</v>
      </c>
      <c r="T545" s="12">
        <f>S545</f>
        <v>0.15</v>
      </c>
      <c r="U545">
        <v>418.77</v>
      </c>
      <c r="V545">
        <f>Q545*R545*(1-S545)</f>
        <v>418.76949999999999</v>
      </c>
      <c r="W545">
        <v>313.72000000000003</v>
      </c>
      <c r="X545">
        <v>105.05</v>
      </c>
      <c r="Y545">
        <f>V545-W545</f>
        <v>105.04949999999997</v>
      </c>
      <c r="Z545" s="12">
        <f>Y545/V545</f>
        <v>0.25085279610859906</v>
      </c>
      <c r="AA545" t="s">
        <v>32</v>
      </c>
      <c r="AB545" t="s">
        <v>33</v>
      </c>
      <c r="AC545" s="14" t="s">
        <v>2794</v>
      </c>
      <c r="AD545" t="s">
        <v>2782</v>
      </c>
      <c r="AE545" t="str">
        <f>PROPER(TRIM(AB545))</f>
        <v>Completed</v>
      </c>
      <c r="AS545" t="str">
        <f t="shared" si="10"/>
        <v/>
      </c>
    </row>
    <row r="546" spans="1:45">
      <c r="A546" t="s">
        <v>1727</v>
      </c>
      <c r="B546" s="7">
        <v>45686</v>
      </c>
      <c r="C546" s="4">
        <v>45779</v>
      </c>
      <c r="D546">
        <f>C546-B546</f>
        <v>93</v>
      </c>
      <c r="E546" t="str">
        <f>TEXT(B546,"mmmm")</f>
        <v>January</v>
      </c>
      <c r="F546">
        <f>YEAR(B546)</f>
        <v>2025</v>
      </c>
      <c r="G546" t="s">
        <v>1728</v>
      </c>
      <c r="H546" t="s">
        <v>62</v>
      </c>
      <c r="I546" t="s">
        <v>24</v>
      </c>
      <c r="J546" t="s">
        <v>54</v>
      </c>
      <c r="K546" t="s">
        <v>185</v>
      </c>
      <c r="L546" t="s">
        <v>186</v>
      </c>
      <c r="M546" t="s">
        <v>28</v>
      </c>
      <c r="N546" t="s">
        <v>48</v>
      </c>
      <c r="O546" t="s">
        <v>1729</v>
      </c>
      <c r="P546" t="s">
        <v>44</v>
      </c>
      <c r="Q546">
        <v>8</v>
      </c>
      <c r="R546">
        <v>3643.62</v>
      </c>
      <c r="S546">
        <v>0.25</v>
      </c>
      <c r="T546" s="12">
        <f>S546</f>
        <v>0.25</v>
      </c>
      <c r="U546">
        <v>21861.72</v>
      </c>
      <c r="V546">
        <f>Q546*R546*(1-S546)</f>
        <v>21861.72</v>
      </c>
      <c r="W546">
        <v>18464.34</v>
      </c>
      <c r="X546">
        <v>3397.38</v>
      </c>
      <c r="Y546">
        <f>V546-W546</f>
        <v>3397.380000000001</v>
      </c>
      <c r="Z546" s="12">
        <f>Y546/V546</f>
        <v>0.1554031430280875</v>
      </c>
      <c r="AA546" t="s">
        <v>32</v>
      </c>
      <c r="AB546" t="s">
        <v>68</v>
      </c>
      <c r="AC546" s="14" t="s">
        <v>2794</v>
      </c>
      <c r="AD546" t="s">
        <v>2782</v>
      </c>
      <c r="AE546" t="str">
        <f>PROPER(TRIM(AB546))</f>
        <v>Cancelled</v>
      </c>
      <c r="AS546" t="str">
        <f t="shared" si="10"/>
        <v/>
      </c>
    </row>
    <row r="547" spans="1:45">
      <c r="A547" t="s">
        <v>1730</v>
      </c>
      <c r="B547" s="7">
        <v>45439</v>
      </c>
      <c r="C547" s="4">
        <v>45442</v>
      </c>
      <c r="D547">
        <f>C547-B547</f>
        <v>3</v>
      </c>
      <c r="E547" t="str">
        <f>TEXT(B547,"mmmm")</f>
        <v>May</v>
      </c>
      <c r="F547">
        <f>YEAR(B547)</f>
        <v>2024</v>
      </c>
      <c r="G547" t="s">
        <v>1731</v>
      </c>
      <c r="H547" t="s">
        <v>264</v>
      </c>
      <c r="I547" t="s">
        <v>37</v>
      </c>
      <c r="J547" t="s">
        <v>38</v>
      </c>
      <c r="K547" t="s">
        <v>228</v>
      </c>
      <c r="L547" t="s">
        <v>229</v>
      </c>
      <c r="M547" t="s">
        <v>28</v>
      </c>
      <c r="N547" t="s">
        <v>124</v>
      </c>
      <c r="O547" t="s">
        <v>1732</v>
      </c>
      <c r="P547" t="s">
        <v>44</v>
      </c>
      <c r="Q547">
        <v>7</v>
      </c>
      <c r="R547">
        <v>2900.86</v>
      </c>
      <c r="S547">
        <v>0.15</v>
      </c>
      <c r="T547" s="12">
        <f>S547</f>
        <v>0.15</v>
      </c>
      <c r="U547">
        <v>17260.12</v>
      </c>
      <c r="V547">
        <f>Q547*R547*(1-S547)</f>
        <v>17260.116999999998</v>
      </c>
      <c r="W547">
        <v>13513.51</v>
      </c>
      <c r="X547">
        <v>3746.61</v>
      </c>
      <c r="Y547">
        <f>V547-W547</f>
        <v>3746.6069999999982</v>
      </c>
      <c r="Z547" s="12">
        <f>Y547/V547</f>
        <v>0.21706730029697935</v>
      </c>
      <c r="AA547" t="s">
        <v>32</v>
      </c>
      <c r="AB547" t="s">
        <v>33</v>
      </c>
      <c r="AC547" s="14" t="s">
        <v>2794</v>
      </c>
      <c r="AD547" t="s">
        <v>2782</v>
      </c>
      <c r="AE547" t="str">
        <f>PROPER(TRIM(AB547))</f>
        <v>Completed</v>
      </c>
      <c r="AS547" t="str">
        <f t="shared" si="10"/>
        <v/>
      </c>
    </row>
    <row r="548" spans="1:45">
      <c r="A548" t="s">
        <v>1733</v>
      </c>
      <c r="B548" s="7">
        <v>45883</v>
      </c>
      <c r="C548" s="4">
        <v>45891</v>
      </c>
      <c r="D548">
        <f>C548-B548</f>
        <v>8</v>
      </c>
      <c r="E548" t="str">
        <f>TEXT(B548,"mmmm")</f>
        <v>August</v>
      </c>
      <c r="F548">
        <f>YEAR(B548)</f>
        <v>2025</v>
      </c>
      <c r="G548" t="s">
        <v>1734</v>
      </c>
      <c r="H548" t="s">
        <v>53</v>
      </c>
      <c r="I548" t="s">
        <v>90</v>
      </c>
      <c r="J548" t="s">
        <v>63</v>
      </c>
      <c r="K548" t="s">
        <v>180</v>
      </c>
      <c r="L548" t="s">
        <v>181</v>
      </c>
      <c r="M548" t="s">
        <v>28</v>
      </c>
      <c r="N548" t="s">
        <v>29</v>
      </c>
      <c r="O548" t="s">
        <v>1735</v>
      </c>
      <c r="P548" t="s">
        <v>50</v>
      </c>
      <c r="Q548">
        <v>5</v>
      </c>
      <c r="R548">
        <v>2567.37</v>
      </c>
      <c r="S548">
        <v>0.15</v>
      </c>
      <c r="T548" s="12">
        <f>S548</f>
        <v>0.15</v>
      </c>
      <c r="U548">
        <v>10911.32</v>
      </c>
      <c r="V548">
        <f>Q548*R548*(1-S548)</f>
        <v>10911.322499999998</v>
      </c>
      <c r="W548">
        <v>6966.44</v>
      </c>
      <c r="X548">
        <v>4395.17</v>
      </c>
      <c r="Y548">
        <f>V548-W548</f>
        <v>3944.8824999999988</v>
      </c>
      <c r="Z548" s="12">
        <f>Y548/V548</f>
        <v>0.36154027158486052</v>
      </c>
      <c r="AA548" t="s">
        <v>32</v>
      </c>
      <c r="AB548" t="s">
        <v>33</v>
      </c>
      <c r="AC548" s="14" t="s">
        <v>2794</v>
      </c>
      <c r="AD548" t="s">
        <v>2782</v>
      </c>
      <c r="AE548" t="str">
        <f>PROPER(TRIM(AB548))</f>
        <v>Completed</v>
      </c>
      <c r="AS548" t="str">
        <f t="shared" si="10"/>
        <v/>
      </c>
    </row>
    <row r="549" spans="1:45">
      <c r="A549" t="s">
        <v>1736</v>
      </c>
      <c r="B549" s="7">
        <v>45428</v>
      </c>
      <c r="C549" s="4">
        <v>45435</v>
      </c>
      <c r="D549">
        <f>C549-B549</f>
        <v>7</v>
      </c>
      <c r="E549" t="str">
        <f>TEXT(B549,"mmmm")</f>
        <v>May</v>
      </c>
      <c r="F549">
        <f>YEAR(B549)</f>
        <v>2024</v>
      </c>
      <c r="G549" t="s">
        <v>1737</v>
      </c>
      <c r="H549" t="s">
        <v>79</v>
      </c>
      <c r="I549" t="s">
        <v>37</v>
      </c>
      <c r="J549" t="s">
        <v>25</v>
      </c>
      <c r="K549" t="s">
        <v>136</v>
      </c>
      <c r="L549" t="s">
        <v>137</v>
      </c>
      <c r="M549" t="s">
        <v>74</v>
      </c>
      <c r="N549" t="s">
        <v>80</v>
      </c>
      <c r="O549" t="s">
        <v>1738</v>
      </c>
      <c r="P549" t="s">
        <v>59</v>
      </c>
      <c r="Q549">
        <v>9</v>
      </c>
      <c r="R549">
        <v>3722.09</v>
      </c>
      <c r="S549">
        <v>0.1</v>
      </c>
      <c r="T549" s="12">
        <f>S549</f>
        <v>0.1</v>
      </c>
      <c r="U549">
        <v>30148.93</v>
      </c>
      <c r="V549">
        <f>Q549*R549*(1-S549)</f>
        <v>30148.929</v>
      </c>
      <c r="W549">
        <v>25155.07</v>
      </c>
      <c r="X549">
        <v>4993.8599999999997</v>
      </c>
      <c r="Y549">
        <f>V549-W549</f>
        <v>4993.8590000000004</v>
      </c>
      <c r="Z549" s="12">
        <f>Y549/V549</f>
        <v>0.16563968159532302</v>
      </c>
      <c r="AA549" t="s">
        <v>32</v>
      </c>
      <c r="AB549" t="s">
        <v>33</v>
      </c>
      <c r="AC549" s="14" t="s">
        <v>2794</v>
      </c>
      <c r="AD549" t="s">
        <v>2782</v>
      </c>
      <c r="AE549" t="str">
        <f>PROPER(TRIM(AB549))</f>
        <v>Completed</v>
      </c>
      <c r="AS549" t="str">
        <f t="shared" si="10"/>
        <v/>
      </c>
    </row>
    <row r="550" spans="1:45">
      <c r="A550" t="s">
        <v>1739</v>
      </c>
      <c r="B550" s="7">
        <v>45441</v>
      </c>
      <c r="C550" s="4">
        <v>45441</v>
      </c>
      <c r="D550">
        <f>C550-B550</f>
        <v>0</v>
      </c>
      <c r="E550" t="str">
        <f>TEXT(B550,"mmmm")</f>
        <v>May</v>
      </c>
      <c r="F550">
        <f>YEAR(B550)</f>
        <v>2024</v>
      </c>
      <c r="G550" t="s">
        <v>1740</v>
      </c>
      <c r="H550" t="s">
        <v>141</v>
      </c>
      <c r="I550" t="s">
        <v>90</v>
      </c>
      <c r="J550" t="s">
        <v>38</v>
      </c>
      <c r="K550" t="s">
        <v>145</v>
      </c>
      <c r="L550" t="s">
        <v>146</v>
      </c>
      <c r="M550" t="s">
        <v>41</v>
      </c>
      <c r="N550" t="s">
        <v>158</v>
      </c>
      <c r="O550" t="s">
        <v>1741</v>
      </c>
      <c r="P550" t="s">
        <v>44</v>
      </c>
      <c r="Q550">
        <v>1</v>
      </c>
      <c r="R550">
        <v>1072.01</v>
      </c>
      <c r="S550">
        <v>0</v>
      </c>
      <c r="T550" s="12">
        <f>S550</f>
        <v>0</v>
      </c>
      <c r="U550">
        <v>1072.01</v>
      </c>
      <c r="V550">
        <f>Q550*R550*(1-S550)</f>
        <v>1072.01</v>
      </c>
      <c r="W550">
        <v>852.62</v>
      </c>
      <c r="X550">
        <v>219.39</v>
      </c>
      <c r="Y550">
        <f>V550-W550</f>
        <v>219.39</v>
      </c>
      <c r="Z550" s="12">
        <f>Y550/V550</f>
        <v>0.20465294167032022</v>
      </c>
      <c r="AA550" t="s">
        <v>111</v>
      </c>
      <c r="AB550" t="s">
        <v>68</v>
      </c>
      <c r="AC550" s="14" t="s">
        <v>2794</v>
      </c>
      <c r="AD550" t="s">
        <v>2782</v>
      </c>
      <c r="AE550" t="str">
        <f>PROPER(TRIM(AB550))</f>
        <v>Cancelled</v>
      </c>
      <c r="AS550" t="str">
        <f t="shared" si="10"/>
        <v/>
      </c>
    </row>
    <row r="551" spans="1:45">
      <c r="A551" t="s">
        <v>1742</v>
      </c>
      <c r="B551" s="7">
        <v>45971</v>
      </c>
      <c r="C551" s="4">
        <v>45943</v>
      </c>
      <c r="D551" s="10">
        <f>C551-B551</f>
        <v>-28</v>
      </c>
      <c r="E551" t="str">
        <f>TEXT(B551,"mmmm")</f>
        <v>November</v>
      </c>
      <c r="F551">
        <f>YEAR(B551)</f>
        <v>2025</v>
      </c>
      <c r="G551" t="s">
        <v>1743</v>
      </c>
      <c r="H551" t="s">
        <v>36</v>
      </c>
      <c r="I551" t="s">
        <v>90</v>
      </c>
      <c r="J551" t="s">
        <v>54</v>
      </c>
      <c r="K551" t="s">
        <v>55</v>
      </c>
      <c r="L551" t="s">
        <v>56</v>
      </c>
      <c r="M551" t="s">
        <v>28</v>
      </c>
      <c r="N551" t="s">
        <v>48</v>
      </c>
      <c r="O551" t="s">
        <v>1744</v>
      </c>
      <c r="P551" t="s">
        <v>31</v>
      </c>
      <c r="Q551">
        <v>3</v>
      </c>
      <c r="R551">
        <v>3804.27</v>
      </c>
      <c r="S551">
        <v>0.1</v>
      </c>
      <c r="T551" s="12">
        <f>S551</f>
        <v>0.1</v>
      </c>
      <c r="U551">
        <v>10271.530000000001</v>
      </c>
      <c r="V551">
        <f>Q551*R551*(1-S551)</f>
        <v>10271.529</v>
      </c>
      <c r="W551">
        <v>8272.24</v>
      </c>
      <c r="X551">
        <v>1999.29</v>
      </c>
      <c r="Y551">
        <f>V551-W551</f>
        <v>1999.2890000000007</v>
      </c>
      <c r="Z551" s="12">
        <f>Y551/V551</f>
        <v>0.19464375751652949</v>
      </c>
      <c r="AA551" t="s">
        <v>32</v>
      </c>
      <c r="AB551" t="s">
        <v>33</v>
      </c>
      <c r="AC551" s="10" t="s">
        <v>2792</v>
      </c>
      <c r="AD551" t="s">
        <v>2782</v>
      </c>
      <c r="AE551" t="str">
        <f>PROPER(TRIM(AB551))</f>
        <v>Completed</v>
      </c>
      <c r="AS551" t="str">
        <f t="shared" si="10"/>
        <v/>
      </c>
    </row>
    <row r="552" spans="1:45">
      <c r="A552" t="s">
        <v>1745</v>
      </c>
      <c r="B552" s="7">
        <v>45506</v>
      </c>
      <c r="C552" s="4">
        <v>45573</v>
      </c>
      <c r="D552">
        <f>C552-B552</f>
        <v>67</v>
      </c>
      <c r="E552" t="str">
        <f>TEXT(B552,"mmmm")</f>
        <v>August</v>
      </c>
      <c r="F552">
        <f>YEAR(B552)</f>
        <v>2024</v>
      </c>
      <c r="G552" t="s">
        <v>1746</v>
      </c>
      <c r="H552" t="s">
        <v>36</v>
      </c>
      <c r="I552" t="s">
        <v>95</v>
      </c>
      <c r="J552" t="s">
        <v>38</v>
      </c>
      <c r="K552" t="s">
        <v>39</v>
      </c>
      <c r="L552" t="s">
        <v>40</v>
      </c>
      <c r="M552" t="s">
        <v>74</v>
      </c>
      <c r="N552" t="s">
        <v>75</v>
      </c>
      <c r="O552" t="s">
        <v>1747</v>
      </c>
      <c r="P552" t="s">
        <v>59</v>
      </c>
      <c r="Q552">
        <v>6</v>
      </c>
      <c r="R552">
        <v>2126.44</v>
      </c>
      <c r="S552">
        <v>0.2</v>
      </c>
      <c r="T552" s="12">
        <f>S552</f>
        <v>0.2</v>
      </c>
      <c r="U552">
        <v>10206.91</v>
      </c>
      <c r="V552">
        <f>Q552*R552*(1-S552)</f>
        <v>10206.912</v>
      </c>
      <c r="W552">
        <v>6764.53</v>
      </c>
      <c r="X552">
        <v>3442.38</v>
      </c>
      <c r="Y552">
        <f>V552-W552</f>
        <v>3442.3820000000005</v>
      </c>
      <c r="Z552" s="12">
        <f>Y552/V552</f>
        <v>0.33725988820125036</v>
      </c>
      <c r="AA552" t="s">
        <v>32</v>
      </c>
      <c r="AB552" t="s">
        <v>33</v>
      </c>
      <c r="AC552" s="14" t="s">
        <v>2794</v>
      </c>
      <c r="AD552" t="s">
        <v>2782</v>
      </c>
      <c r="AE552" t="str">
        <f>PROPER(TRIM(AB552))</f>
        <v>Completed</v>
      </c>
      <c r="AS552" t="str">
        <f t="shared" si="10"/>
        <v/>
      </c>
    </row>
    <row r="553" spans="1:45">
      <c r="A553" t="s">
        <v>1748</v>
      </c>
      <c r="B553" s="7">
        <v>45349</v>
      </c>
      <c r="C553" s="4">
        <v>45349</v>
      </c>
      <c r="D553">
        <f>C553-B553</f>
        <v>0</v>
      </c>
      <c r="E553" t="str">
        <f>TEXT(B553,"mmmm")</f>
        <v>February</v>
      </c>
      <c r="F553">
        <f>YEAR(B553)</f>
        <v>2024</v>
      </c>
      <c r="G553" t="s">
        <v>1749</v>
      </c>
      <c r="H553" t="s">
        <v>132</v>
      </c>
      <c r="I553" t="s">
        <v>24</v>
      </c>
      <c r="J553" t="s">
        <v>38</v>
      </c>
      <c r="K553" t="s">
        <v>228</v>
      </c>
      <c r="L553" t="s">
        <v>229</v>
      </c>
      <c r="M553" t="s">
        <v>41</v>
      </c>
      <c r="N553" t="s">
        <v>66</v>
      </c>
      <c r="O553" t="s">
        <v>1750</v>
      </c>
      <c r="P553" t="s">
        <v>31</v>
      </c>
      <c r="Q553">
        <v>3</v>
      </c>
      <c r="R553">
        <v>3148.09</v>
      </c>
      <c r="S553">
        <v>0.15</v>
      </c>
      <c r="T553" s="12">
        <f>S553</f>
        <v>0.15</v>
      </c>
      <c r="U553">
        <v>8027.63</v>
      </c>
      <c r="V553">
        <f>Q553*R553*(1-S553)</f>
        <v>8027.6295</v>
      </c>
      <c r="W553">
        <v>5496.09</v>
      </c>
      <c r="X553">
        <v>2531.54</v>
      </c>
      <c r="Y553">
        <f>V553-W553</f>
        <v>2531.5394999999999</v>
      </c>
      <c r="Z553" s="12">
        <f>Y553/V553</f>
        <v>0.31535330572991688</v>
      </c>
      <c r="AA553" t="s">
        <v>32</v>
      </c>
      <c r="AB553" t="s">
        <v>33</v>
      </c>
      <c r="AC553" s="14" t="s">
        <v>2794</v>
      </c>
      <c r="AD553" t="s">
        <v>2782</v>
      </c>
      <c r="AE553" t="str">
        <f>PROPER(TRIM(AB553))</f>
        <v>Completed</v>
      </c>
      <c r="AS553" t="str">
        <f t="shared" si="10"/>
        <v/>
      </c>
    </row>
    <row r="554" spans="1:45">
      <c r="A554" t="s">
        <v>1751</v>
      </c>
      <c r="B554" s="7">
        <v>45681</v>
      </c>
      <c r="C554" s="4">
        <v>45687</v>
      </c>
      <c r="D554">
        <f>C554-B554</f>
        <v>6</v>
      </c>
      <c r="E554" t="str">
        <f>TEXT(B554,"mmmm")</f>
        <v>January</v>
      </c>
      <c r="F554">
        <f>YEAR(B554)</f>
        <v>2025</v>
      </c>
      <c r="G554" t="s">
        <v>1752</v>
      </c>
      <c r="H554" t="s">
        <v>62</v>
      </c>
      <c r="I554" t="s">
        <v>90</v>
      </c>
      <c r="J554" t="s">
        <v>38</v>
      </c>
      <c r="K554" t="s">
        <v>99</v>
      </c>
      <c r="L554" t="s">
        <v>100</v>
      </c>
      <c r="M554" t="s">
        <v>74</v>
      </c>
      <c r="N554" t="s">
        <v>80</v>
      </c>
      <c r="O554" t="s">
        <v>1753</v>
      </c>
      <c r="P554" t="s">
        <v>59</v>
      </c>
      <c r="Q554">
        <v>8</v>
      </c>
      <c r="R554">
        <v>312.52999999999997</v>
      </c>
      <c r="S554" s="3">
        <v>0.7</v>
      </c>
      <c r="T554" s="13">
        <f>S554</f>
        <v>0.7</v>
      </c>
      <c r="U554">
        <v>1875.18</v>
      </c>
      <c r="V554">
        <f>Q554*R554*(1-S554)</f>
        <v>750.072</v>
      </c>
      <c r="W554">
        <v>1579.17</v>
      </c>
      <c r="X554">
        <v>296.01</v>
      </c>
      <c r="Y554">
        <f>V554-W554</f>
        <v>-829.09800000000007</v>
      </c>
      <c r="Z554" s="12">
        <f>Y554/V554</f>
        <v>-1.1053578856429784</v>
      </c>
      <c r="AA554" t="s">
        <v>32</v>
      </c>
      <c r="AB554" t="s">
        <v>33</v>
      </c>
      <c r="AC554" s="10" t="s">
        <v>2793</v>
      </c>
      <c r="AD554" t="s">
        <v>2782</v>
      </c>
      <c r="AE554" t="str">
        <f>PROPER(TRIM(AB554))</f>
        <v>Completed</v>
      </c>
      <c r="AS554" t="str">
        <f t="shared" si="10"/>
        <v/>
      </c>
    </row>
    <row r="555" spans="1:45">
      <c r="A555" t="s">
        <v>1754</v>
      </c>
      <c r="B555" s="7">
        <v>45772</v>
      </c>
      <c r="C555" s="4">
        <v>45775</v>
      </c>
      <c r="D555">
        <f>C555-B555</f>
        <v>3</v>
      </c>
      <c r="E555" t="str">
        <f>TEXT(B555,"mmmm")</f>
        <v>April</v>
      </c>
      <c r="F555">
        <f>YEAR(B555)</f>
        <v>2025</v>
      </c>
      <c r="G555" t="s">
        <v>1755</v>
      </c>
      <c r="H555" t="s">
        <v>128</v>
      </c>
      <c r="I555" t="s">
        <v>37</v>
      </c>
      <c r="J555" t="s">
        <v>63</v>
      </c>
      <c r="K555" t="s">
        <v>180</v>
      </c>
      <c r="L555" t="s">
        <v>181</v>
      </c>
      <c r="M555" t="s">
        <v>28</v>
      </c>
      <c r="N555" t="s">
        <v>124</v>
      </c>
      <c r="O555" t="s">
        <v>1756</v>
      </c>
      <c r="P555" t="s">
        <v>50</v>
      </c>
      <c r="Q555">
        <v>9</v>
      </c>
      <c r="R555">
        <v>1294.1099999999999</v>
      </c>
      <c r="S555">
        <v>0.25</v>
      </c>
      <c r="T555" s="12">
        <f>S555</f>
        <v>0.25</v>
      </c>
      <c r="U555">
        <v>8735.24</v>
      </c>
      <c r="V555">
        <f>Q555*R555*(1-S555)</f>
        <v>8735.2425000000003</v>
      </c>
      <c r="W555">
        <v>6620.07</v>
      </c>
      <c r="X555">
        <v>2115.17</v>
      </c>
      <c r="Y555">
        <f>V555-W555</f>
        <v>2115.1725000000006</v>
      </c>
      <c r="Z555" s="12">
        <f>Y555/V555</f>
        <v>0.24214239043735769</v>
      </c>
      <c r="AA555" t="s">
        <v>32</v>
      </c>
      <c r="AB555" t="s">
        <v>33</v>
      </c>
      <c r="AC555" s="14" t="s">
        <v>2794</v>
      </c>
      <c r="AD555" t="s">
        <v>2782</v>
      </c>
      <c r="AE555" t="str">
        <f>PROPER(TRIM(AB555))</f>
        <v>Completed</v>
      </c>
      <c r="AS555" t="str">
        <f t="shared" si="10"/>
        <v/>
      </c>
    </row>
    <row r="556" spans="1:45">
      <c r="A556" t="s">
        <v>1757</v>
      </c>
      <c r="B556" s="7">
        <v>45577</v>
      </c>
      <c r="C556" s="4">
        <v>45582</v>
      </c>
      <c r="D556">
        <f>C556-B556</f>
        <v>5</v>
      </c>
      <c r="E556" t="str">
        <f>TEXT(B556,"mmmm")</f>
        <v>October</v>
      </c>
      <c r="F556">
        <f>YEAR(B556)</f>
        <v>2024</v>
      </c>
      <c r="G556" t="s">
        <v>1758</v>
      </c>
      <c r="H556" t="s">
        <v>53</v>
      </c>
      <c r="I556" t="s">
        <v>24</v>
      </c>
      <c r="J556" t="s">
        <v>2783</v>
      </c>
      <c r="K556" t="s">
        <v>228</v>
      </c>
      <c r="L556" t="s">
        <v>229</v>
      </c>
      <c r="M556" t="s">
        <v>41</v>
      </c>
      <c r="N556" t="s">
        <v>57</v>
      </c>
      <c r="O556" t="s">
        <v>1759</v>
      </c>
      <c r="P556" t="s">
        <v>59</v>
      </c>
      <c r="Q556">
        <v>4</v>
      </c>
      <c r="R556">
        <v>1071.22</v>
      </c>
      <c r="S556">
        <v>0.05</v>
      </c>
      <c r="T556" s="12">
        <f>S556</f>
        <v>0.05</v>
      </c>
      <c r="U556">
        <v>4070.64</v>
      </c>
      <c r="V556">
        <f>Q556*R556*(1-S556)</f>
        <v>4070.636</v>
      </c>
      <c r="W556">
        <v>2831.62</v>
      </c>
      <c r="X556">
        <v>1239.02</v>
      </c>
      <c r="Y556">
        <f>V556-W556</f>
        <v>1239.0160000000001</v>
      </c>
      <c r="Z556" s="12">
        <f>Y556/V556</f>
        <v>0.30437897173807732</v>
      </c>
      <c r="AA556" t="s">
        <v>32</v>
      </c>
      <c r="AB556" t="s">
        <v>33</v>
      </c>
      <c r="AC556" s="10" t="s">
        <v>2796</v>
      </c>
      <c r="AD556" t="s">
        <v>2782</v>
      </c>
      <c r="AE556" t="str">
        <f>PROPER(TRIM(AB556))</f>
        <v>Completed</v>
      </c>
      <c r="AS556" t="str">
        <f t="shared" si="10"/>
        <v/>
      </c>
    </row>
    <row r="557" spans="1:45">
      <c r="A557" t="s">
        <v>1760</v>
      </c>
      <c r="B557" s="7">
        <v>45692</v>
      </c>
      <c r="C557" s="4">
        <v>45698</v>
      </c>
      <c r="D557">
        <f>C557-B557</f>
        <v>6</v>
      </c>
      <c r="E557" t="str">
        <f>TEXT(B557,"mmmm")</f>
        <v>February</v>
      </c>
      <c r="F557">
        <f>YEAR(B557)</f>
        <v>2025</v>
      </c>
      <c r="G557" t="s">
        <v>1761</v>
      </c>
      <c r="H557" t="s">
        <v>62</v>
      </c>
      <c r="I557" t="s">
        <v>37</v>
      </c>
      <c r="J557" t="s">
        <v>54</v>
      </c>
      <c r="K557" t="s">
        <v>55</v>
      </c>
      <c r="L557" t="s">
        <v>56</v>
      </c>
      <c r="M557" t="s">
        <v>28</v>
      </c>
      <c r="N557" t="s">
        <v>124</v>
      </c>
      <c r="O557" t="s">
        <v>1762</v>
      </c>
      <c r="P557" t="s">
        <v>59</v>
      </c>
      <c r="Q557">
        <v>6</v>
      </c>
      <c r="R557">
        <v>1042.8</v>
      </c>
      <c r="S557">
        <v>0.05</v>
      </c>
      <c r="T557" s="12">
        <f>S557</f>
        <v>0.05</v>
      </c>
      <c r="U557">
        <v>5943.96</v>
      </c>
      <c r="V557">
        <f>Q557*R557*(1-S557)</f>
        <v>5943.9599999999991</v>
      </c>
      <c r="W557">
        <v>3604.14</v>
      </c>
      <c r="X557">
        <v>2339.8200000000002</v>
      </c>
      <c r="Y557">
        <f>V557-W557</f>
        <v>2339.8199999999993</v>
      </c>
      <c r="Z557" s="12">
        <f>Y557/V557</f>
        <v>0.39364665980255581</v>
      </c>
      <c r="AA557" t="s">
        <v>32</v>
      </c>
      <c r="AB557" t="s">
        <v>33</v>
      </c>
      <c r="AC557" s="14" t="s">
        <v>2794</v>
      </c>
      <c r="AD557" t="s">
        <v>2782</v>
      </c>
      <c r="AE557" t="str">
        <f>PROPER(TRIM(AB557))</f>
        <v>Completed</v>
      </c>
      <c r="AS557" t="str">
        <f t="shared" si="10"/>
        <v/>
      </c>
    </row>
    <row r="558" spans="1:45">
      <c r="A558" t="s">
        <v>1763</v>
      </c>
      <c r="B558" s="7">
        <v>45466</v>
      </c>
      <c r="C558" s="4">
        <v>45472</v>
      </c>
      <c r="D558">
        <f>C558-B558</f>
        <v>6</v>
      </c>
      <c r="E558" t="str">
        <f>TEXT(B558,"mmmm")</f>
        <v>June</v>
      </c>
      <c r="F558">
        <f>YEAR(B558)</f>
        <v>2024</v>
      </c>
      <c r="G558" t="s">
        <v>1764</v>
      </c>
      <c r="H558" t="s">
        <v>79</v>
      </c>
      <c r="I558" t="s">
        <v>24</v>
      </c>
      <c r="J558" t="s">
        <v>25</v>
      </c>
      <c r="K558" t="s">
        <v>236</v>
      </c>
      <c r="L558" t="s">
        <v>237</v>
      </c>
      <c r="M558" t="s">
        <v>41</v>
      </c>
      <c r="N558" t="s">
        <v>42</v>
      </c>
      <c r="O558" t="s">
        <v>1765</v>
      </c>
      <c r="P558" t="s">
        <v>50</v>
      </c>
      <c r="Q558">
        <v>1</v>
      </c>
      <c r="R558">
        <v>4426.66</v>
      </c>
      <c r="S558">
        <v>0</v>
      </c>
      <c r="T558" s="12">
        <f>S558</f>
        <v>0</v>
      </c>
      <c r="U558">
        <v>4426.66</v>
      </c>
      <c r="V558">
        <f>Q558*R558*(1-S558)</f>
        <v>4426.66</v>
      </c>
      <c r="W558">
        <v>3035.2</v>
      </c>
      <c r="X558">
        <v>1816.23</v>
      </c>
      <c r="Y558">
        <f>V558-W558</f>
        <v>1391.46</v>
      </c>
      <c r="Z558" s="12">
        <f>Y558/V558</f>
        <v>0.31433631677156143</v>
      </c>
      <c r="AA558" t="s">
        <v>32</v>
      </c>
      <c r="AB558" t="s">
        <v>103</v>
      </c>
      <c r="AC558" s="14" t="s">
        <v>2794</v>
      </c>
      <c r="AD558" t="s">
        <v>2782</v>
      </c>
      <c r="AE558" t="str">
        <f>PROPER(TRIM(AB558))</f>
        <v>Returned</v>
      </c>
      <c r="AS558" t="str">
        <f t="shared" si="10"/>
        <v/>
      </c>
    </row>
    <row r="559" spans="1:45">
      <c r="A559" t="s">
        <v>1766</v>
      </c>
      <c r="B559" s="7">
        <v>45420</v>
      </c>
      <c r="C559" s="4">
        <v>45426</v>
      </c>
      <c r="D559">
        <f>C559-B559</f>
        <v>6</v>
      </c>
      <c r="E559" t="str">
        <f>TEXT(B559,"mmmm")</f>
        <v>May</v>
      </c>
      <c r="F559">
        <f>YEAR(B559)</f>
        <v>2024</v>
      </c>
      <c r="G559" t="s">
        <v>1767</v>
      </c>
      <c r="H559" t="s">
        <v>71</v>
      </c>
      <c r="I559" t="s">
        <v>95</v>
      </c>
      <c r="J559" t="s">
        <v>25</v>
      </c>
      <c r="K559" t="s">
        <v>236</v>
      </c>
      <c r="L559" t="s">
        <v>237</v>
      </c>
      <c r="M559" t="s">
        <v>74</v>
      </c>
      <c r="N559" t="s">
        <v>171</v>
      </c>
      <c r="O559" t="s">
        <v>1768</v>
      </c>
      <c r="P559" t="s">
        <v>50</v>
      </c>
      <c r="Q559">
        <v>9</v>
      </c>
      <c r="R559">
        <v>3769.46</v>
      </c>
      <c r="S559">
        <v>0.05</v>
      </c>
      <c r="T559" s="12">
        <f>S559</f>
        <v>0.05</v>
      </c>
      <c r="U559">
        <v>32228.880000000001</v>
      </c>
      <c r="V559">
        <f>Q559*R559*(1-S559)</f>
        <v>32228.882999999998</v>
      </c>
      <c r="W559">
        <v>24971.360000000001</v>
      </c>
      <c r="X559">
        <v>7257.52</v>
      </c>
      <c r="Y559">
        <f>V559-W559</f>
        <v>7257.5229999999974</v>
      </c>
      <c r="Z559" s="12">
        <f>Y559/V559</f>
        <v>0.22518692317074712</v>
      </c>
      <c r="AA559" t="s">
        <v>32</v>
      </c>
      <c r="AB559" t="s">
        <v>68</v>
      </c>
      <c r="AC559" s="14" t="s">
        <v>2794</v>
      </c>
      <c r="AD559" t="s">
        <v>2782</v>
      </c>
      <c r="AE559" t="str">
        <f>PROPER(TRIM(AB559))</f>
        <v>Cancelled</v>
      </c>
      <c r="AS559" t="str">
        <f t="shared" si="10"/>
        <v/>
      </c>
    </row>
    <row r="560" spans="1:45">
      <c r="A560" t="s">
        <v>1769</v>
      </c>
      <c r="B560" s="7">
        <v>45904</v>
      </c>
      <c r="C560" s="4">
        <v>45756</v>
      </c>
      <c r="D560" s="10">
        <f>C560-B560</f>
        <v>-148</v>
      </c>
      <c r="E560" t="str">
        <f>TEXT(B560,"mmmm")</f>
        <v>September</v>
      </c>
      <c r="F560">
        <f>YEAR(B560)</f>
        <v>2025</v>
      </c>
      <c r="G560" t="s">
        <v>1770</v>
      </c>
      <c r="H560" t="s">
        <v>89</v>
      </c>
      <c r="I560" t="s">
        <v>90</v>
      </c>
      <c r="J560" t="s">
        <v>25</v>
      </c>
      <c r="K560" t="s">
        <v>122</v>
      </c>
      <c r="L560" t="s">
        <v>123</v>
      </c>
      <c r="M560" t="s">
        <v>74</v>
      </c>
      <c r="N560" t="s">
        <v>274</v>
      </c>
      <c r="O560" t="s">
        <v>1771</v>
      </c>
      <c r="P560" t="s">
        <v>50</v>
      </c>
      <c r="Q560">
        <v>8</v>
      </c>
      <c r="R560">
        <v>3079.95</v>
      </c>
      <c r="S560">
        <v>0.2</v>
      </c>
      <c r="T560" s="12">
        <f>S560</f>
        <v>0.2</v>
      </c>
      <c r="U560">
        <v>19711.68</v>
      </c>
      <c r="V560">
        <f>Q560*R560*(1-S560)</f>
        <v>19711.68</v>
      </c>
      <c r="W560">
        <v>14461.8</v>
      </c>
      <c r="X560">
        <v>5249.88</v>
      </c>
      <c r="Y560">
        <f>V560-W560</f>
        <v>5249.880000000001</v>
      </c>
      <c r="Z560" s="12">
        <f>Y560/V560</f>
        <v>0.26633346320557155</v>
      </c>
      <c r="AA560" t="s">
        <v>32</v>
      </c>
      <c r="AB560" t="s">
        <v>33</v>
      </c>
      <c r="AC560" s="10" t="s">
        <v>2792</v>
      </c>
      <c r="AD560" t="s">
        <v>2782</v>
      </c>
      <c r="AE560" t="str">
        <f>PROPER(TRIM(AB560))</f>
        <v>Completed</v>
      </c>
      <c r="AS560" t="str">
        <f t="shared" si="10"/>
        <v/>
      </c>
    </row>
    <row r="561" spans="1:45">
      <c r="A561" t="s">
        <v>1772</v>
      </c>
      <c r="B561" s="7">
        <v>45930</v>
      </c>
      <c r="C561" s="4">
        <v>45937</v>
      </c>
      <c r="D561">
        <f>C561-B561</f>
        <v>7</v>
      </c>
      <c r="E561" t="str">
        <f>TEXT(B561,"mmmm")</f>
        <v>September</v>
      </c>
      <c r="F561">
        <f>YEAR(B561)</f>
        <v>2025</v>
      </c>
      <c r="G561" t="s">
        <v>1773</v>
      </c>
      <c r="H561" t="s">
        <v>162</v>
      </c>
      <c r="I561" t="s">
        <v>90</v>
      </c>
      <c r="J561" t="s">
        <v>38</v>
      </c>
      <c r="K561" t="s">
        <v>145</v>
      </c>
      <c r="L561" t="s">
        <v>146</v>
      </c>
      <c r="M561" t="s">
        <v>74</v>
      </c>
      <c r="N561" t="s">
        <v>80</v>
      </c>
      <c r="O561" t="s">
        <v>1774</v>
      </c>
      <c r="P561" t="s">
        <v>31</v>
      </c>
      <c r="Q561">
        <v>5</v>
      </c>
      <c r="R561">
        <v>3277.82</v>
      </c>
      <c r="S561">
        <v>0.1</v>
      </c>
      <c r="T561" s="12">
        <f>S561</f>
        <v>0.1</v>
      </c>
      <c r="U561">
        <v>14750.19</v>
      </c>
      <c r="V561">
        <f>Q561*R561*(1-S561)</f>
        <v>14750.190000000002</v>
      </c>
      <c r="W561">
        <v>9482.58</v>
      </c>
      <c r="X561">
        <v>5267.61</v>
      </c>
      <c r="Y561">
        <f>V561-W561</f>
        <v>5267.6100000000024</v>
      </c>
      <c r="Z561" s="12">
        <f>Y561/V561</f>
        <v>0.35712150148574368</v>
      </c>
      <c r="AA561" t="s">
        <v>32</v>
      </c>
      <c r="AB561" t="s">
        <v>103</v>
      </c>
      <c r="AC561" s="14" t="s">
        <v>2794</v>
      </c>
      <c r="AD561" t="s">
        <v>2782</v>
      </c>
      <c r="AE561" t="str">
        <f>PROPER(TRIM(AB561))</f>
        <v>Returned</v>
      </c>
      <c r="AS561" t="str">
        <f t="shared" si="10"/>
        <v/>
      </c>
    </row>
    <row r="562" spans="1:45">
      <c r="A562" t="s">
        <v>1775</v>
      </c>
      <c r="B562" s="7">
        <v>45307</v>
      </c>
      <c r="C562" s="4">
        <v>45313</v>
      </c>
      <c r="D562">
        <f>C562-B562</f>
        <v>6</v>
      </c>
      <c r="E562" t="str">
        <f>TEXT(B562,"mmmm")</f>
        <v>January</v>
      </c>
      <c r="F562">
        <f>YEAR(B562)</f>
        <v>2024</v>
      </c>
      <c r="G562" t="s">
        <v>1776</v>
      </c>
      <c r="H562" t="s">
        <v>53</v>
      </c>
      <c r="I562" t="s">
        <v>24</v>
      </c>
      <c r="J562" t="s">
        <v>63</v>
      </c>
      <c r="K562" t="s">
        <v>190</v>
      </c>
      <c r="L562" t="s">
        <v>191</v>
      </c>
      <c r="M562" t="s">
        <v>28</v>
      </c>
      <c r="N562" t="s">
        <v>124</v>
      </c>
      <c r="O562" t="s">
        <v>1777</v>
      </c>
      <c r="P562" t="s">
        <v>59</v>
      </c>
      <c r="Q562">
        <v>4</v>
      </c>
      <c r="R562">
        <v>282.52999999999997</v>
      </c>
      <c r="S562">
        <v>0</v>
      </c>
      <c r="T562" s="12">
        <f>S562</f>
        <v>0</v>
      </c>
      <c r="U562">
        <v>1130.1199999999999</v>
      </c>
      <c r="V562">
        <f>Q562*R562*(1-S562)</f>
        <v>1130.1199999999999</v>
      </c>
      <c r="W562">
        <v>848.62</v>
      </c>
      <c r="X562">
        <v>281.5</v>
      </c>
      <c r="Y562">
        <f>V562-W562</f>
        <v>281.49999999999989</v>
      </c>
      <c r="Z562" s="12">
        <f>Y562/V562</f>
        <v>0.249088592361873</v>
      </c>
      <c r="AA562" t="s">
        <v>32</v>
      </c>
      <c r="AB562" t="s">
        <v>68</v>
      </c>
      <c r="AC562" s="14" t="s">
        <v>2794</v>
      </c>
      <c r="AD562" t="s">
        <v>2782</v>
      </c>
      <c r="AE562" t="str">
        <f>PROPER(TRIM(AB562))</f>
        <v>Cancelled</v>
      </c>
      <c r="AS562" t="str">
        <f t="shared" si="10"/>
        <v/>
      </c>
    </row>
    <row r="563" spans="1:45">
      <c r="A563" t="s">
        <v>1778</v>
      </c>
      <c r="B563" s="7">
        <v>45852</v>
      </c>
      <c r="C563" s="4">
        <v>45856</v>
      </c>
      <c r="D563">
        <f>C563-B563</f>
        <v>4</v>
      </c>
      <c r="E563" t="str">
        <f>TEXT(B563,"mmmm")</f>
        <v>July</v>
      </c>
      <c r="F563">
        <f>YEAR(B563)</f>
        <v>2025</v>
      </c>
      <c r="G563" t="s">
        <v>1779</v>
      </c>
      <c r="H563" t="s">
        <v>89</v>
      </c>
      <c r="I563" t="s">
        <v>24</v>
      </c>
      <c r="J563" t="s">
        <v>25</v>
      </c>
      <c r="K563" t="s">
        <v>122</v>
      </c>
      <c r="L563" t="s">
        <v>123</v>
      </c>
      <c r="M563" t="s">
        <v>74</v>
      </c>
      <c r="N563" t="s">
        <v>80</v>
      </c>
      <c r="O563" t="s">
        <v>1780</v>
      </c>
      <c r="P563" t="s">
        <v>50</v>
      </c>
      <c r="Q563">
        <v>4</v>
      </c>
      <c r="R563">
        <v>725.22</v>
      </c>
      <c r="S563">
        <v>0</v>
      </c>
      <c r="T563" s="12">
        <f>S563</f>
        <v>0</v>
      </c>
      <c r="U563">
        <v>2900.88</v>
      </c>
      <c r="V563">
        <f>Q563*R563*(1-S563)</f>
        <v>2900.88</v>
      </c>
      <c r="W563">
        <v>2391.85</v>
      </c>
      <c r="X563">
        <v>509.03</v>
      </c>
      <c r="Y563">
        <f>V563-W563</f>
        <v>509.0300000000002</v>
      </c>
      <c r="Z563" s="12">
        <f>Y563/V563</f>
        <v>0.17547433882132324</v>
      </c>
      <c r="AA563" t="s">
        <v>111</v>
      </c>
      <c r="AB563" t="s">
        <v>103</v>
      </c>
      <c r="AC563" s="14" t="s">
        <v>2794</v>
      </c>
      <c r="AD563" t="s">
        <v>2782</v>
      </c>
      <c r="AE563" t="str">
        <f>PROPER(TRIM(AB563))</f>
        <v>Returned</v>
      </c>
      <c r="AS563" t="str">
        <f t="shared" si="10"/>
        <v/>
      </c>
    </row>
    <row r="564" spans="1:45">
      <c r="A564" t="s">
        <v>1781</v>
      </c>
      <c r="B564" s="7">
        <v>45422</v>
      </c>
      <c r="C564" s="4">
        <v>45428</v>
      </c>
      <c r="D564">
        <f>C564-B564</f>
        <v>6</v>
      </c>
      <c r="E564" t="str">
        <f>TEXT(B564,"mmmm")</f>
        <v>May</v>
      </c>
      <c r="F564">
        <f>YEAR(B564)</f>
        <v>2024</v>
      </c>
      <c r="G564" t="s">
        <v>1782</v>
      </c>
      <c r="H564" t="s">
        <v>23</v>
      </c>
      <c r="I564" t="s">
        <v>24</v>
      </c>
      <c r="J564" t="s">
        <v>25</v>
      </c>
      <c r="K564" t="s">
        <v>122</v>
      </c>
      <c r="L564" t="s">
        <v>123</v>
      </c>
      <c r="M564" t="s">
        <v>28</v>
      </c>
      <c r="N564" t="s">
        <v>153</v>
      </c>
      <c r="O564" t="s">
        <v>1783</v>
      </c>
      <c r="P564" t="s">
        <v>44</v>
      </c>
      <c r="Q564">
        <v>7</v>
      </c>
      <c r="R564">
        <v>121.54</v>
      </c>
      <c r="S564">
        <v>0.2</v>
      </c>
      <c r="T564" s="12">
        <f>S564</f>
        <v>0.2</v>
      </c>
      <c r="U564">
        <v>680.62</v>
      </c>
      <c r="V564">
        <f>Q564*R564*(1-S564)</f>
        <v>680.62400000000014</v>
      </c>
      <c r="W564">
        <v>463.49</v>
      </c>
      <c r="X564">
        <v>217.13</v>
      </c>
      <c r="Y564">
        <f>V564-W564</f>
        <v>217.13400000000013</v>
      </c>
      <c r="Z564" s="12">
        <f>Y564/V564</f>
        <v>0.31902195632243363</v>
      </c>
      <c r="AA564" t="s">
        <v>155</v>
      </c>
      <c r="AB564" t="s">
        <v>103</v>
      </c>
      <c r="AC564" s="14" t="s">
        <v>2794</v>
      </c>
      <c r="AD564" t="s">
        <v>2782</v>
      </c>
      <c r="AE564" t="str">
        <f>PROPER(TRIM(AB564))</f>
        <v>Returned</v>
      </c>
      <c r="AS564" t="str">
        <f t="shared" si="10"/>
        <v/>
      </c>
    </row>
    <row r="565" spans="1:45">
      <c r="A565" t="s">
        <v>1784</v>
      </c>
      <c r="B565" s="7">
        <v>45448</v>
      </c>
      <c r="C565" s="4">
        <v>45424</v>
      </c>
      <c r="D565" s="10">
        <f>C565-B565</f>
        <v>-24</v>
      </c>
      <c r="E565" t="str">
        <f>TEXT(B565,"mmmm")</f>
        <v>June</v>
      </c>
      <c r="F565">
        <f>YEAR(B565)</f>
        <v>2024</v>
      </c>
      <c r="G565" t="s">
        <v>1785</v>
      </c>
      <c r="H565" t="s">
        <v>53</v>
      </c>
      <c r="I565" t="s">
        <v>90</v>
      </c>
      <c r="J565" t="s">
        <v>63</v>
      </c>
      <c r="K565" t="s">
        <v>190</v>
      </c>
      <c r="L565" t="s">
        <v>191</v>
      </c>
      <c r="M565" t="s">
        <v>41</v>
      </c>
      <c r="N565" t="s">
        <v>42</v>
      </c>
      <c r="O565" t="s">
        <v>1786</v>
      </c>
      <c r="P565" t="s">
        <v>59</v>
      </c>
      <c r="Q565">
        <v>9</v>
      </c>
      <c r="R565">
        <v>790.97</v>
      </c>
      <c r="S565">
        <v>0.2</v>
      </c>
      <c r="T565" s="12">
        <f>S565</f>
        <v>0.2</v>
      </c>
      <c r="U565">
        <v>5694.98</v>
      </c>
      <c r="V565">
        <f>Q565*R565*(1-S565)</f>
        <v>5694.9840000000004</v>
      </c>
      <c r="W565">
        <v>4618.33</v>
      </c>
      <c r="X565">
        <v>1076.6500000000001</v>
      </c>
      <c r="Y565">
        <f>V565-W565</f>
        <v>1076.6540000000005</v>
      </c>
      <c r="Z565" s="12">
        <f>Y565/V565</f>
        <v>0.1890530333360024</v>
      </c>
      <c r="AA565" t="s">
        <v>111</v>
      </c>
      <c r="AB565" t="s">
        <v>68</v>
      </c>
      <c r="AC565" s="10" t="s">
        <v>2792</v>
      </c>
      <c r="AD565" t="s">
        <v>2782</v>
      </c>
      <c r="AE565" t="str">
        <f>PROPER(TRIM(AB565))</f>
        <v>Cancelled</v>
      </c>
      <c r="AS565" t="str">
        <f t="shared" si="10"/>
        <v/>
      </c>
    </row>
    <row r="566" spans="1:45">
      <c r="A566" t="s">
        <v>1787</v>
      </c>
      <c r="B566" s="7">
        <v>45576</v>
      </c>
      <c r="C566" s="4">
        <v>45610</v>
      </c>
      <c r="D566">
        <f>C566-B566</f>
        <v>34</v>
      </c>
      <c r="E566" t="str">
        <f>TEXT(B566,"mmmm")</f>
        <v>October</v>
      </c>
      <c r="F566">
        <f>YEAR(B566)</f>
        <v>2024</v>
      </c>
      <c r="G566" t="s">
        <v>1788</v>
      </c>
      <c r="H566" t="s">
        <v>132</v>
      </c>
      <c r="I566" t="s">
        <v>90</v>
      </c>
      <c r="J566" t="s">
        <v>54</v>
      </c>
      <c r="K566" t="s">
        <v>84</v>
      </c>
      <c r="L566" t="s">
        <v>85</v>
      </c>
      <c r="M566" t="s">
        <v>41</v>
      </c>
      <c r="N566" t="s">
        <v>42</v>
      </c>
      <c r="O566" t="s">
        <v>1789</v>
      </c>
      <c r="P566" t="s">
        <v>50</v>
      </c>
      <c r="Q566">
        <v>2</v>
      </c>
      <c r="R566">
        <v>921.34</v>
      </c>
      <c r="S566">
        <v>0.2</v>
      </c>
      <c r="T566" s="12">
        <f>S566</f>
        <v>0.2</v>
      </c>
      <c r="U566">
        <v>1474.14</v>
      </c>
      <c r="V566">
        <f>Q566*R566*(1-S566)</f>
        <v>1474.1440000000002</v>
      </c>
      <c r="W566">
        <v>968.46</v>
      </c>
      <c r="X566">
        <v>505.68</v>
      </c>
      <c r="Y566">
        <f>V566-W566</f>
        <v>505.6840000000002</v>
      </c>
      <c r="Z566" s="12">
        <f>Y566/V566</f>
        <v>0.34303568715132315</v>
      </c>
      <c r="AA566" t="s">
        <v>32</v>
      </c>
      <c r="AB566" t="s">
        <v>33</v>
      </c>
      <c r="AC566" s="14" t="s">
        <v>2794</v>
      </c>
      <c r="AD566" t="s">
        <v>2782</v>
      </c>
      <c r="AE566" t="str">
        <f>PROPER(TRIM(AB566))</f>
        <v>Completed</v>
      </c>
      <c r="AS566" t="str">
        <f t="shared" si="10"/>
        <v/>
      </c>
    </row>
    <row r="567" spans="1:45">
      <c r="A567" t="s">
        <v>1790</v>
      </c>
      <c r="B567" s="7">
        <v>45876</v>
      </c>
      <c r="C567" s="4">
        <v>45882</v>
      </c>
      <c r="D567">
        <f>C567-B567</f>
        <v>6</v>
      </c>
      <c r="E567" t="str">
        <f>TEXT(B567,"mmmm")</f>
        <v>August</v>
      </c>
      <c r="F567">
        <f>YEAR(B567)</f>
        <v>2025</v>
      </c>
      <c r="G567" t="s">
        <v>1791</v>
      </c>
      <c r="H567" t="s">
        <v>36</v>
      </c>
      <c r="I567" t="s">
        <v>90</v>
      </c>
      <c r="J567" t="s">
        <v>25</v>
      </c>
      <c r="K567" t="s">
        <v>350</v>
      </c>
      <c r="L567" t="s">
        <v>351</v>
      </c>
      <c r="M567" t="s">
        <v>74</v>
      </c>
      <c r="N567" t="s">
        <v>171</v>
      </c>
      <c r="O567" t="s">
        <v>1792</v>
      </c>
      <c r="P567" t="s">
        <v>59</v>
      </c>
      <c r="Q567">
        <v>6</v>
      </c>
      <c r="R567">
        <v>1921.86</v>
      </c>
      <c r="S567">
        <v>0.2</v>
      </c>
      <c r="T567" s="12">
        <f>S567</f>
        <v>0.2</v>
      </c>
      <c r="U567">
        <v>9224.93</v>
      </c>
      <c r="V567">
        <f>Q567*R567*(1-S567)</f>
        <v>9224.9279999999999</v>
      </c>
      <c r="W567">
        <v>7005.2</v>
      </c>
      <c r="X567">
        <v>2219.73</v>
      </c>
      <c r="Y567">
        <f>V567-W567</f>
        <v>2219.7280000000001</v>
      </c>
      <c r="Z567" s="12">
        <f>Y567/V567</f>
        <v>0.24062279944081949</v>
      </c>
      <c r="AA567" t="s">
        <v>102</v>
      </c>
      <c r="AB567" t="s">
        <v>68</v>
      </c>
      <c r="AC567" s="14" t="s">
        <v>2794</v>
      </c>
      <c r="AD567" t="s">
        <v>2782</v>
      </c>
      <c r="AE567" t="str">
        <f>PROPER(TRIM(AB567))</f>
        <v>Cancelled</v>
      </c>
      <c r="AS567" t="str">
        <f t="shared" si="10"/>
        <v/>
      </c>
    </row>
    <row r="568" spans="1:45">
      <c r="A568" t="s">
        <v>1793</v>
      </c>
      <c r="B568" s="7">
        <v>45515</v>
      </c>
      <c r="C568" s="4">
        <v>45523</v>
      </c>
      <c r="D568">
        <f>C568-B568</f>
        <v>8</v>
      </c>
      <c r="E568" t="str">
        <f>TEXT(B568,"mmmm")</f>
        <v>August</v>
      </c>
      <c r="F568">
        <f>YEAR(B568)</f>
        <v>2024</v>
      </c>
      <c r="G568" t="s">
        <v>1794</v>
      </c>
      <c r="H568" t="s">
        <v>132</v>
      </c>
      <c r="I568" t="s">
        <v>37</v>
      </c>
      <c r="J568" t="s">
        <v>63</v>
      </c>
      <c r="K568" t="s">
        <v>64</v>
      </c>
      <c r="L568" t="s">
        <v>65</v>
      </c>
      <c r="M568" t="s">
        <v>28</v>
      </c>
      <c r="N568" t="s">
        <v>29</v>
      </c>
      <c r="O568" t="s">
        <v>1795</v>
      </c>
      <c r="P568" t="s">
        <v>44</v>
      </c>
      <c r="Q568">
        <v>2</v>
      </c>
      <c r="R568">
        <v>2617.89</v>
      </c>
      <c r="S568">
        <v>0.1</v>
      </c>
      <c r="T568" s="12">
        <f>S568</f>
        <v>0.1</v>
      </c>
      <c r="U568">
        <v>4712.2</v>
      </c>
      <c r="V568">
        <f>Q568*R568*(1-S568)</f>
        <v>4712.2020000000002</v>
      </c>
      <c r="W568">
        <v>3851.91</v>
      </c>
      <c r="X568">
        <v>860.29</v>
      </c>
      <c r="Y568">
        <f>V568-W568</f>
        <v>860.29200000000037</v>
      </c>
      <c r="Z568" s="12">
        <f>Y568/V568</f>
        <v>0.18256687637754077</v>
      </c>
      <c r="AA568" t="s">
        <v>155</v>
      </c>
      <c r="AB568" t="s">
        <v>103</v>
      </c>
      <c r="AC568" s="14" t="s">
        <v>2794</v>
      </c>
      <c r="AD568" t="s">
        <v>2782</v>
      </c>
      <c r="AE568" t="str">
        <f>PROPER(TRIM(AB568))</f>
        <v>Returned</v>
      </c>
      <c r="AS568" t="str">
        <f t="shared" si="10"/>
        <v/>
      </c>
    </row>
    <row r="569" spans="1:45">
      <c r="A569" t="s">
        <v>1796</v>
      </c>
      <c r="B569" s="7">
        <v>45328</v>
      </c>
      <c r="C569" s="4">
        <v>45332</v>
      </c>
      <c r="D569">
        <f>C569-B569</f>
        <v>4</v>
      </c>
      <c r="E569" t="str">
        <f>TEXT(B569,"mmmm")</f>
        <v>February</v>
      </c>
      <c r="F569">
        <f>YEAR(B569)</f>
        <v>2024</v>
      </c>
      <c r="G569" t="s">
        <v>1797</v>
      </c>
      <c r="H569" t="s">
        <v>53</v>
      </c>
      <c r="I569" t="s">
        <v>95</v>
      </c>
      <c r="J569" t="s">
        <v>25</v>
      </c>
      <c r="K569" t="s">
        <v>136</v>
      </c>
      <c r="L569" t="s">
        <v>137</v>
      </c>
      <c r="M569" t="s">
        <v>41</v>
      </c>
      <c r="N569" t="s">
        <v>57</v>
      </c>
      <c r="O569" t="s">
        <v>596</v>
      </c>
      <c r="P569" t="s">
        <v>44</v>
      </c>
      <c r="Q569">
        <v>1</v>
      </c>
      <c r="R569">
        <v>1374.06</v>
      </c>
      <c r="S569">
        <v>0.05</v>
      </c>
      <c r="T569" s="12">
        <f>S569</f>
        <v>0.05</v>
      </c>
      <c r="U569">
        <v>1305.3599999999999</v>
      </c>
      <c r="V569">
        <f>Q569*R569*(1-S569)</f>
        <v>1305.357</v>
      </c>
      <c r="W569">
        <v>731.89</v>
      </c>
      <c r="X569">
        <v>573.47</v>
      </c>
      <c r="Y569">
        <f>V569-W569</f>
        <v>573.46699999999998</v>
      </c>
      <c r="Z569" s="12">
        <f>Y569/V569</f>
        <v>0.4393181328939133</v>
      </c>
      <c r="AA569" t="s">
        <v>32</v>
      </c>
      <c r="AB569" t="s">
        <v>33</v>
      </c>
      <c r="AC569" s="14" t="s">
        <v>2794</v>
      </c>
      <c r="AD569" t="s">
        <v>2782</v>
      </c>
      <c r="AE569" t="str">
        <f>PROPER(TRIM(AB569))</f>
        <v>Completed</v>
      </c>
      <c r="AS569" t="str">
        <f t="shared" si="10"/>
        <v/>
      </c>
    </row>
    <row r="570" spans="1:45">
      <c r="A570" t="s">
        <v>1798</v>
      </c>
      <c r="B570" s="7">
        <v>45312</v>
      </c>
      <c r="C570" s="4">
        <v>45315</v>
      </c>
      <c r="D570">
        <f>C570-B570</f>
        <v>3</v>
      </c>
      <c r="E570" t="str">
        <f>TEXT(B570,"mmmm")</f>
        <v>January</v>
      </c>
      <c r="F570">
        <f>YEAR(B570)</f>
        <v>2024</v>
      </c>
      <c r="G570" t="s">
        <v>1799</v>
      </c>
      <c r="H570" t="s">
        <v>264</v>
      </c>
      <c r="I570" t="s">
        <v>90</v>
      </c>
      <c r="J570" t="s">
        <v>25</v>
      </c>
      <c r="K570" t="s">
        <v>122</v>
      </c>
      <c r="L570" t="s">
        <v>123</v>
      </c>
      <c r="M570" t="s">
        <v>74</v>
      </c>
      <c r="N570" t="s">
        <v>274</v>
      </c>
      <c r="O570" t="s">
        <v>1800</v>
      </c>
      <c r="P570" t="s">
        <v>44</v>
      </c>
      <c r="Q570">
        <v>1</v>
      </c>
      <c r="R570">
        <v>3806.3</v>
      </c>
      <c r="S570">
        <v>0.25</v>
      </c>
      <c r="T570" s="12">
        <f>S570</f>
        <v>0.25</v>
      </c>
      <c r="U570">
        <v>2854.73</v>
      </c>
      <c r="V570">
        <f>Q570*R570*(1-S570)</f>
        <v>2854.7250000000004</v>
      </c>
      <c r="W570">
        <v>1968.12</v>
      </c>
      <c r="X570">
        <v>886.61</v>
      </c>
      <c r="Y570">
        <f>V570-W570</f>
        <v>886.60500000000047</v>
      </c>
      <c r="Z570" s="12">
        <f>Y570/V570</f>
        <v>0.31057457373302172</v>
      </c>
      <c r="AA570" t="s">
        <v>32</v>
      </c>
      <c r="AB570" t="s">
        <v>33</v>
      </c>
      <c r="AC570" s="14" t="s">
        <v>2794</v>
      </c>
      <c r="AD570" t="s">
        <v>2782</v>
      </c>
      <c r="AE570" t="str">
        <f>PROPER(TRIM(AB570))</f>
        <v>Completed</v>
      </c>
      <c r="AS570" t="str">
        <f t="shared" si="10"/>
        <v/>
      </c>
    </row>
    <row r="571" spans="1:45">
      <c r="A571" t="s">
        <v>1801</v>
      </c>
      <c r="B571" s="7">
        <v>45878</v>
      </c>
      <c r="C571" s="4">
        <v>45910</v>
      </c>
      <c r="D571">
        <f>C571-B571</f>
        <v>32</v>
      </c>
      <c r="E571" t="str">
        <f>TEXT(B571,"mmmm")</f>
        <v>August</v>
      </c>
      <c r="F571">
        <f>YEAR(B571)</f>
        <v>2025</v>
      </c>
      <c r="G571" t="s">
        <v>1802</v>
      </c>
      <c r="H571" t="s">
        <v>118</v>
      </c>
      <c r="I571" t="s">
        <v>95</v>
      </c>
      <c r="J571" t="s">
        <v>63</v>
      </c>
      <c r="K571" t="s">
        <v>64</v>
      </c>
      <c r="L571" t="s">
        <v>65</v>
      </c>
      <c r="M571" t="s">
        <v>41</v>
      </c>
      <c r="N571" t="s">
        <v>57</v>
      </c>
      <c r="O571" t="s">
        <v>1803</v>
      </c>
      <c r="P571" t="s">
        <v>59</v>
      </c>
      <c r="Q571">
        <v>6</v>
      </c>
      <c r="R571">
        <v>3251.17</v>
      </c>
      <c r="S571">
        <v>0.25</v>
      </c>
      <c r="T571" s="12">
        <f>S571</f>
        <v>0.25</v>
      </c>
      <c r="U571">
        <v>14630.26</v>
      </c>
      <c r="V571">
        <f>Q571*R571*(1-S571)</f>
        <v>14630.264999999999</v>
      </c>
      <c r="W571">
        <v>11906.36</v>
      </c>
      <c r="X571">
        <v>2723.9</v>
      </c>
      <c r="Y571">
        <f>V571-W571</f>
        <v>2723.9049999999988</v>
      </c>
      <c r="Z571" s="12">
        <f>Y571/V571</f>
        <v>0.18618288868998606</v>
      </c>
      <c r="AA571" t="s">
        <v>102</v>
      </c>
      <c r="AB571" t="s">
        <v>103</v>
      </c>
      <c r="AC571" s="14" t="s">
        <v>2794</v>
      </c>
      <c r="AD571" t="s">
        <v>2782</v>
      </c>
      <c r="AE571" t="str">
        <f>PROPER(TRIM(AB571))</f>
        <v>Returned</v>
      </c>
      <c r="AS571" t="str">
        <f t="shared" si="10"/>
        <v/>
      </c>
    </row>
    <row r="572" spans="1:45">
      <c r="A572" t="s">
        <v>1804</v>
      </c>
      <c r="B572" s="7">
        <v>45887</v>
      </c>
      <c r="C572" s="4">
        <v>45891</v>
      </c>
      <c r="D572">
        <f>C572-B572</f>
        <v>4</v>
      </c>
      <c r="E572" t="str">
        <f>TEXT(B572,"mmmm")</f>
        <v>August</v>
      </c>
      <c r="F572">
        <f>YEAR(B572)</f>
        <v>2025</v>
      </c>
      <c r="G572" t="s">
        <v>1805</v>
      </c>
      <c r="H572" t="s">
        <v>53</v>
      </c>
      <c r="I572" t="s">
        <v>24</v>
      </c>
      <c r="J572" t="s">
        <v>38</v>
      </c>
      <c r="K572" t="s">
        <v>228</v>
      </c>
      <c r="L572" t="s">
        <v>229</v>
      </c>
      <c r="M572" t="s">
        <v>41</v>
      </c>
      <c r="N572" t="s">
        <v>57</v>
      </c>
      <c r="O572" t="s">
        <v>1806</v>
      </c>
      <c r="P572" t="s">
        <v>31</v>
      </c>
      <c r="Q572">
        <v>3</v>
      </c>
      <c r="R572">
        <v>3946.44</v>
      </c>
      <c r="S572">
        <v>0.25</v>
      </c>
      <c r="T572" s="12">
        <f>S572</f>
        <v>0.25</v>
      </c>
      <c r="U572">
        <v>8879.49</v>
      </c>
      <c r="V572">
        <f>Q572*R572*(1-S572)</f>
        <v>8879.49</v>
      </c>
      <c r="W572">
        <v>6344.57</v>
      </c>
      <c r="X572">
        <v>2534.92</v>
      </c>
      <c r="Y572">
        <f>V572-W572</f>
        <v>2534.92</v>
      </c>
      <c r="Z572" s="12">
        <f>Y572/V572</f>
        <v>0.28548035979543873</v>
      </c>
      <c r="AA572" t="s">
        <v>155</v>
      </c>
      <c r="AB572" t="s">
        <v>103</v>
      </c>
      <c r="AC572" s="14" t="s">
        <v>2794</v>
      </c>
      <c r="AD572" t="s">
        <v>2782</v>
      </c>
      <c r="AE572" t="str">
        <f>PROPER(TRIM(AB572))</f>
        <v>Returned</v>
      </c>
      <c r="AS572" t="str">
        <f t="shared" si="10"/>
        <v/>
      </c>
    </row>
    <row r="573" spans="1:45">
      <c r="A573" t="s">
        <v>1807</v>
      </c>
      <c r="B573" s="7">
        <v>45698</v>
      </c>
      <c r="C573" s="4">
        <v>45702</v>
      </c>
      <c r="D573">
        <f>C573-B573</f>
        <v>4</v>
      </c>
      <c r="E573" t="str">
        <f>TEXT(B573,"mmmm")</f>
        <v>February</v>
      </c>
      <c r="F573">
        <f>YEAR(B573)</f>
        <v>2025</v>
      </c>
      <c r="G573" t="s">
        <v>1808</v>
      </c>
      <c r="H573" t="s">
        <v>114</v>
      </c>
      <c r="I573" t="s">
        <v>37</v>
      </c>
      <c r="J573" t="s">
        <v>25</v>
      </c>
      <c r="K573" t="s">
        <v>136</v>
      </c>
      <c r="L573" t="s">
        <v>137</v>
      </c>
      <c r="M573" t="s">
        <v>74</v>
      </c>
      <c r="N573" t="s">
        <v>171</v>
      </c>
      <c r="O573" t="s">
        <v>1809</v>
      </c>
      <c r="P573" t="s">
        <v>2783</v>
      </c>
      <c r="Q573">
        <v>5</v>
      </c>
      <c r="R573">
        <v>4276.29</v>
      </c>
      <c r="S573">
        <v>0</v>
      </c>
      <c r="T573" s="12">
        <f>S573</f>
        <v>0</v>
      </c>
      <c r="U573">
        <v>21381.45</v>
      </c>
      <c r="V573">
        <f>Q573*R573*(1-S573)</f>
        <v>21381.45</v>
      </c>
      <c r="W573">
        <v>13240.21</v>
      </c>
      <c r="X573">
        <v>8141.24</v>
      </c>
      <c r="Y573">
        <f>V573-W573</f>
        <v>8141.2400000000016</v>
      </c>
      <c r="Z573" s="12">
        <f>Y573/V573</f>
        <v>0.38076182859441249</v>
      </c>
      <c r="AA573" t="s">
        <v>155</v>
      </c>
      <c r="AB573" t="s">
        <v>103</v>
      </c>
      <c r="AC573" s="10" t="s">
        <v>2795</v>
      </c>
      <c r="AD573" t="s">
        <v>2782</v>
      </c>
      <c r="AE573" t="str">
        <f>PROPER(TRIM(AB573))</f>
        <v>Returned</v>
      </c>
      <c r="AS573" t="str">
        <f t="shared" si="10"/>
        <v/>
      </c>
    </row>
    <row r="574" spans="1:45">
      <c r="A574" t="s">
        <v>1810</v>
      </c>
      <c r="B574" s="7">
        <v>45323</v>
      </c>
      <c r="C574" s="4">
        <v>45300</v>
      </c>
      <c r="D574" s="10">
        <f>C574-B574</f>
        <v>-23</v>
      </c>
      <c r="E574" t="str">
        <f>TEXT(B574,"mmmm")</f>
        <v>February</v>
      </c>
      <c r="F574">
        <f>YEAR(B574)</f>
        <v>2024</v>
      </c>
      <c r="G574" t="s">
        <v>1811</v>
      </c>
      <c r="H574" t="s">
        <v>162</v>
      </c>
      <c r="I574" t="s">
        <v>90</v>
      </c>
      <c r="J574" t="s">
        <v>25</v>
      </c>
      <c r="K574" t="s">
        <v>350</v>
      </c>
      <c r="L574" t="s">
        <v>351</v>
      </c>
      <c r="M574" t="s">
        <v>74</v>
      </c>
      <c r="N574" t="s">
        <v>171</v>
      </c>
      <c r="O574" t="s">
        <v>1812</v>
      </c>
      <c r="P574" t="s">
        <v>59</v>
      </c>
      <c r="Q574">
        <v>3</v>
      </c>
      <c r="R574">
        <v>739.56</v>
      </c>
      <c r="S574">
        <v>0.2</v>
      </c>
      <c r="T574" s="12">
        <f>S574</f>
        <v>0.2</v>
      </c>
      <c r="U574">
        <v>1774.94</v>
      </c>
      <c r="V574">
        <f>Q574*R574*(1-S574)</f>
        <v>1774.944</v>
      </c>
      <c r="W574">
        <v>1007.4</v>
      </c>
      <c r="X574">
        <v>767.54</v>
      </c>
      <c r="Y574">
        <f>V574-W574</f>
        <v>767.54399999999998</v>
      </c>
      <c r="Z574" s="12">
        <f>Y574/V574</f>
        <v>0.43243279787982042</v>
      </c>
      <c r="AA574" t="s">
        <v>32</v>
      </c>
      <c r="AB574" t="s">
        <v>33</v>
      </c>
      <c r="AC574" s="10" t="s">
        <v>2792</v>
      </c>
      <c r="AD574" t="s">
        <v>2782</v>
      </c>
      <c r="AE574" t="str">
        <f>PROPER(TRIM(AB574))</f>
        <v>Completed</v>
      </c>
      <c r="AS574" t="str">
        <f t="shared" si="10"/>
        <v/>
      </c>
    </row>
    <row r="575" spans="1:45">
      <c r="A575" t="s">
        <v>1813</v>
      </c>
      <c r="B575" s="7">
        <v>45922</v>
      </c>
      <c r="C575" s="4">
        <v>45926</v>
      </c>
      <c r="D575">
        <f>C575-B575</f>
        <v>4</v>
      </c>
      <c r="E575" t="str">
        <f>TEXT(B575,"mmmm")</f>
        <v>September</v>
      </c>
      <c r="F575">
        <f>YEAR(B575)</f>
        <v>2025</v>
      </c>
      <c r="G575" t="s">
        <v>1814</v>
      </c>
      <c r="H575" t="s">
        <v>47</v>
      </c>
      <c r="I575" t="s">
        <v>24</v>
      </c>
      <c r="J575" t="s">
        <v>54</v>
      </c>
      <c r="K575" t="s">
        <v>84</v>
      </c>
      <c r="L575" t="s">
        <v>85</v>
      </c>
      <c r="M575" t="s">
        <v>74</v>
      </c>
      <c r="N575" t="s">
        <v>171</v>
      </c>
      <c r="O575" t="s">
        <v>1815</v>
      </c>
      <c r="P575" t="s">
        <v>59</v>
      </c>
      <c r="Q575">
        <v>1</v>
      </c>
      <c r="R575">
        <v>573.65</v>
      </c>
      <c r="S575">
        <v>0</v>
      </c>
      <c r="T575" s="12">
        <f>S575</f>
        <v>0</v>
      </c>
      <c r="U575">
        <v>573.65</v>
      </c>
      <c r="V575">
        <f>Q575*R575*(1-S575)</f>
        <v>573.65</v>
      </c>
      <c r="W575">
        <v>322.67</v>
      </c>
      <c r="X575">
        <v>250.98</v>
      </c>
      <c r="Y575">
        <f>V575-W575</f>
        <v>250.97999999999996</v>
      </c>
      <c r="Z575" s="12">
        <f>Y575/V575</f>
        <v>0.43751416368866031</v>
      </c>
      <c r="AA575" t="s">
        <v>32</v>
      </c>
      <c r="AB575" t="s">
        <v>33</v>
      </c>
      <c r="AC575" s="14" t="s">
        <v>2794</v>
      </c>
      <c r="AD575" t="s">
        <v>2782</v>
      </c>
      <c r="AE575" t="str">
        <f>PROPER(TRIM(AB575))</f>
        <v>Completed</v>
      </c>
      <c r="AS575" t="str">
        <f t="shared" si="10"/>
        <v/>
      </c>
    </row>
    <row r="576" spans="1:45">
      <c r="A576" t="s">
        <v>1816</v>
      </c>
      <c r="B576" s="7">
        <v>45342</v>
      </c>
      <c r="C576" s="4">
        <v>45347</v>
      </c>
      <c r="D576">
        <f>C576-B576</f>
        <v>5</v>
      </c>
      <c r="E576" t="str">
        <f>TEXT(B576,"mmmm")</f>
        <v>February</v>
      </c>
      <c r="F576">
        <f>YEAR(B576)</f>
        <v>2024</v>
      </c>
      <c r="G576" t="s">
        <v>800</v>
      </c>
      <c r="H576" t="s">
        <v>162</v>
      </c>
      <c r="I576" t="s">
        <v>95</v>
      </c>
      <c r="J576" t="s">
        <v>25</v>
      </c>
      <c r="K576" t="s">
        <v>122</v>
      </c>
      <c r="L576" t="s">
        <v>123</v>
      </c>
      <c r="M576" t="s">
        <v>74</v>
      </c>
      <c r="N576" t="s">
        <v>274</v>
      </c>
      <c r="O576" t="s">
        <v>1817</v>
      </c>
      <c r="P576" t="s">
        <v>59</v>
      </c>
      <c r="Q576">
        <v>4</v>
      </c>
      <c r="R576">
        <v>1355.8</v>
      </c>
      <c r="S576">
        <v>0</v>
      </c>
      <c r="T576" s="12">
        <f>S576</f>
        <v>0</v>
      </c>
      <c r="U576">
        <v>5423.2</v>
      </c>
      <c r="V576">
        <f>Q576*R576*(1-S576)</f>
        <v>5423.2</v>
      </c>
      <c r="W576">
        <v>4072.44</v>
      </c>
      <c r="X576">
        <v>1350.76</v>
      </c>
      <c r="Y576">
        <f>V576-W576</f>
        <v>1350.7599999999998</v>
      </c>
      <c r="Z576" s="12">
        <f>Y576/V576</f>
        <v>0.24907065938929043</v>
      </c>
      <c r="AA576" t="s">
        <v>32</v>
      </c>
      <c r="AB576" t="s">
        <v>33</v>
      </c>
      <c r="AC576" s="14" t="s">
        <v>2794</v>
      </c>
      <c r="AD576" t="s">
        <v>2782</v>
      </c>
      <c r="AE576" t="str">
        <f>PROPER(TRIM(AB576))</f>
        <v>Completed</v>
      </c>
      <c r="AS576" t="str">
        <f t="shared" si="10"/>
        <v/>
      </c>
    </row>
    <row r="577" spans="1:45">
      <c r="A577" t="s">
        <v>1818</v>
      </c>
      <c r="B577" s="7">
        <v>45727</v>
      </c>
      <c r="C577" s="4">
        <v>45730</v>
      </c>
      <c r="D577">
        <f>C577-B577</f>
        <v>3</v>
      </c>
      <c r="E577" t="str">
        <f>TEXT(B577,"mmmm")</f>
        <v>March</v>
      </c>
      <c r="F577">
        <f>YEAR(B577)</f>
        <v>2025</v>
      </c>
      <c r="G577" t="s">
        <v>1819</v>
      </c>
      <c r="H577" t="s">
        <v>132</v>
      </c>
      <c r="I577" t="s">
        <v>95</v>
      </c>
      <c r="J577" t="s">
        <v>54</v>
      </c>
      <c r="K577" t="s">
        <v>185</v>
      </c>
      <c r="L577" t="s">
        <v>186</v>
      </c>
      <c r="M577" t="s">
        <v>41</v>
      </c>
      <c r="N577" t="s">
        <v>57</v>
      </c>
      <c r="O577" t="s">
        <v>1820</v>
      </c>
      <c r="P577" t="s">
        <v>44</v>
      </c>
      <c r="Q577">
        <v>4</v>
      </c>
      <c r="R577">
        <v>1244.82</v>
      </c>
      <c r="S577">
        <v>0.2</v>
      </c>
      <c r="T577" s="12">
        <f>S577</f>
        <v>0.2</v>
      </c>
      <c r="U577">
        <v>3983.42</v>
      </c>
      <c r="V577">
        <f>Q577*R577*(1-S577)</f>
        <v>3983.424</v>
      </c>
      <c r="W577">
        <v>3174.91</v>
      </c>
      <c r="X577">
        <v>808.51</v>
      </c>
      <c r="Y577">
        <f>V577-W577</f>
        <v>808.51400000000012</v>
      </c>
      <c r="Z577" s="12">
        <f>Y577/V577</f>
        <v>0.2029696060474607</v>
      </c>
      <c r="AA577" t="s">
        <v>155</v>
      </c>
      <c r="AB577" t="s">
        <v>103</v>
      </c>
      <c r="AC577" s="14" t="s">
        <v>2794</v>
      </c>
      <c r="AD577" t="s">
        <v>2782</v>
      </c>
      <c r="AE577" t="str">
        <f>PROPER(TRIM(AB577))</f>
        <v>Returned</v>
      </c>
      <c r="AS577" t="str">
        <f t="shared" si="10"/>
        <v/>
      </c>
    </row>
    <row r="578" spans="1:45">
      <c r="A578" t="s">
        <v>1821</v>
      </c>
      <c r="B578" s="7">
        <v>45339</v>
      </c>
      <c r="C578" s="4">
        <v>45345</v>
      </c>
      <c r="D578">
        <f>C578-B578</f>
        <v>6</v>
      </c>
      <c r="E578" t="str">
        <f>TEXT(B578,"mmmm")</f>
        <v>February</v>
      </c>
      <c r="F578">
        <f>YEAR(B578)</f>
        <v>2024</v>
      </c>
      <c r="G578" t="s">
        <v>1822</v>
      </c>
      <c r="H578" t="s">
        <v>141</v>
      </c>
      <c r="I578" t="s">
        <v>95</v>
      </c>
      <c r="J578" t="s">
        <v>2783</v>
      </c>
      <c r="K578" t="s">
        <v>145</v>
      </c>
      <c r="L578" t="s">
        <v>146</v>
      </c>
      <c r="M578" t="s">
        <v>28</v>
      </c>
      <c r="N578" t="s">
        <v>153</v>
      </c>
      <c r="O578" t="s">
        <v>1823</v>
      </c>
      <c r="P578" t="s">
        <v>59</v>
      </c>
      <c r="Q578">
        <v>9</v>
      </c>
      <c r="R578">
        <v>2614.46</v>
      </c>
      <c r="S578">
        <v>0</v>
      </c>
      <c r="T578" s="12">
        <f>S578</f>
        <v>0</v>
      </c>
      <c r="U578">
        <v>23530.14</v>
      </c>
      <c r="V578">
        <f>Q578*R578*(1-S578)</f>
        <v>23530.14</v>
      </c>
      <c r="W578">
        <v>19537.79</v>
      </c>
      <c r="X578">
        <v>3992.35</v>
      </c>
      <c r="Y578">
        <f>V578-W578</f>
        <v>3992.3499999999985</v>
      </c>
      <c r="Z578" s="12">
        <f>Y578/V578</f>
        <v>0.16966962372514566</v>
      </c>
      <c r="AA578" t="s">
        <v>102</v>
      </c>
      <c r="AB578" t="s">
        <v>103</v>
      </c>
      <c r="AC578" s="10" t="s">
        <v>2796</v>
      </c>
      <c r="AD578" t="s">
        <v>2782</v>
      </c>
      <c r="AE578" t="str">
        <f>PROPER(TRIM(AB578))</f>
        <v>Returned</v>
      </c>
      <c r="AS578" t="str">
        <f t="shared" si="10"/>
        <v/>
      </c>
    </row>
    <row r="579" spans="1:45">
      <c r="A579" t="s">
        <v>1824</v>
      </c>
      <c r="B579" s="7">
        <v>45897</v>
      </c>
      <c r="C579" s="4">
        <v>45903</v>
      </c>
      <c r="D579">
        <f>C579-B579</f>
        <v>6</v>
      </c>
      <c r="E579" t="str">
        <f>TEXT(B579,"mmmm")</f>
        <v>August</v>
      </c>
      <c r="F579">
        <f>YEAR(B579)</f>
        <v>2025</v>
      </c>
      <c r="G579" t="s">
        <v>1825</v>
      </c>
      <c r="H579" t="s">
        <v>114</v>
      </c>
      <c r="I579" t="s">
        <v>90</v>
      </c>
      <c r="J579" t="s">
        <v>63</v>
      </c>
      <c r="K579" t="s">
        <v>72</v>
      </c>
      <c r="L579" t="s">
        <v>73</v>
      </c>
      <c r="M579" t="s">
        <v>41</v>
      </c>
      <c r="N579" t="s">
        <v>57</v>
      </c>
      <c r="O579" t="s">
        <v>1826</v>
      </c>
      <c r="P579" t="s">
        <v>59</v>
      </c>
      <c r="Q579">
        <v>7</v>
      </c>
      <c r="R579">
        <v>268.45</v>
      </c>
      <c r="S579">
        <v>0</v>
      </c>
      <c r="T579" s="12">
        <f>S579</f>
        <v>0</v>
      </c>
      <c r="U579">
        <v>1879.15</v>
      </c>
      <c r="V579">
        <f>Q579*R579*(1-S579)</f>
        <v>1879.1499999999999</v>
      </c>
      <c r="W579">
        <v>1134.9000000000001</v>
      </c>
      <c r="X579">
        <v>744.25</v>
      </c>
      <c r="Y579">
        <f>V579-W579</f>
        <v>744.24999999999977</v>
      </c>
      <c r="Z579" s="12">
        <f>Y579/V579</f>
        <v>0.39605672777585599</v>
      </c>
      <c r="AA579" t="s">
        <v>32</v>
      </c>
      <c r="AB579" t="s">
        <v>33</v>
      </c>
      <c r="AC579" s="14" t="s">
        <v>2794</v>
      </c>
      <c r="AD579" t="s">
        <v>2782</v>
      </c>
      <c r="AE579" t="str">
        <f>PROPER(TRIM(AB579))</f>
        <v>Completed</v>
      </c>
      <c r="AS579" t="str">
        <f t="shared" ref="AS579:AS642" si="11">PROPER(TRIM(AD579))</f>
        <v/>
      </c>
    </row>
    <row r="580" spans="1:45">
      <c r="A580" t="s">
        <v>1827</v>
      </c>
      <c r="B580" s="7">
        <v>45343</v>
      </c>
      <c r="C580" s="4">
        <v>45345</v>
      </c>
      <c r="D580">
        <f>C580-B580</f>
        <v>2</v>
      </c>
      <c r="E580" t="str">
        <f>TEXT(B580,"mmmm")</f>
        <v>February</v>
      </c>
      <c r="F580">
        <f>YEAR(B580)</f>
        <v>2024</v>
      </c>
      <c r="G580" t="s">
        <v>295</v>
      </c>
      <c r="H580" t="s">
        <v>79</v>
      </c>
      <c r="I580" t="s">
        <v>37</v>
      </c>
      <c r="J580" t="s">
        <v>63</v>
      </c>
      <c r="K580" t="s">
        <v>180</v>
      </c>
      <c r="L580" t="s">
        <v>181</v>
      </c>
      <c r="M580" t="s">
        <v>74</v>
      </c>
      <c r="N580" t="s">
        <v>80</v>
      </c>
      <c r="O580" t="s">
        <v>1828</v>
      </c>
      <c r="P580" t="s">
        <v>50</v>
      </c>
      <c r="Q580">
        <v>6</v>
      </c>
      <c r="R580">
        <v>2633.65</v>
      </c>
      <c r="S580">
        <v>0.05</v>
      </c>
      <c r="T580" s="12">
        <f>S580</f>
        <v>0.05</v>
      </c>
      <c r="U580">
        <v>15011.81</v>
      </c>
      <c r="V580">
        <f>Q580*R580*(1-S580)</f>
        <v>15011.805</v>
      </c>
      <c r="W580">
        <v>9660.36</v>
      </c>
      <c r="X580">
        <v>5351.45</v>
      </c>
      <c r="Y580">
        <f>V580-W580</f>
        <v>5351.4449999999997</v>
      </c>
      <c r="Z580" s="12">
        <f>Y580/V580</f>
        <v>0.35648244831317749</v>
      </c>
      <c r="AA580" t="s">
        <v>32</v>
      </c>
      <c r="AB580" t="s">
        <v>33</v>
      </c>
      <c r="AC580" s="14" t="s">
        <v>2794</v>
      </c>
      <c r="AD580" t="s">
        <v>2782</v>
      </c>
      <c r="AE580" t="str">
        <f>PROPER(TRIM(AB580))</f>
        <v>Completed</v>
      </c>
      <c r="AS580" t="str">
        <f t="shared" si="11"/>
        <v/>
      </c>
    </row>
    <row r="581" spans="1:45">
      <c r="A581" t="s">
        <v>1829</v>
      </c>
      <c r="B581" s="7">
        <v>45462</v>
      </c>
      <c r="C581" s="4">
        <v>45467</v>
      </c>
      <c r="D581">
        <f>C581-B581</f>
        <v>5</v>
      </c>
      <c r="E581" t="str">
        <f>TEXT(B581,"mmmm")</f>
        <v>June</v>
      </c>
      <c r="F581">
        <f>YEAR(B581)</f>
        <v>2024</v>
      </c>
      <c r="G581" t="s">
        <v>1830</v>
      </c>
      <c r="H581" t="s">
        <v>128</v>
      </c>
      <c r="I581" t="s">
        <v>37</v>
      </c>
      <c r="J581" t="s">
        <v>54</v>
      </c>
      <c r="K581" t="s">
        <v>247</v>
      </c>
      <c r="L581" t="s">
        <v>248</v>
      </c>
      <c r="M581" t="s">
        <v>28</v>
      </c>
      <c r="N581" t="s">
        <v>124</v>
      </c>
      <c r="O581" t="s">
        <v>1831</v>
      </c>
      <c r="P581" t="s">
        <v>44</v>
      </c>
      <c r="Q581">
        <v>1</v>
      </c>
      <c r="R581">
        <v>3202.41</v>
      </c>
      <c r="S581">
        <v>0</v>
      </c>
      <c r="T581" s="12">
        <f>S581</f>
        <v>0</v>
      </c>
      <c r="U581">
        <v>3202.41</v>
      </c>
      <c r="V581">
        <f>Q581*R581*(1-S581)</f>
        <v>3202.41</v>
      </c>
      <c r="W581">
        <v>2608.44</v>
      </c>
      <c r="X581">
        <v>593.97</v>
      </c>
      <c r="Y581">
        <f>V581-W581</f>
        <v>593.9699999999998</v>
      </c>
      <c r="Z581" s="12">
        <f>Y581/V581</f>
        <v>0.18547593843386695</v>
      </c>
      <c r="AA581" t="s">
        <v>32</v>
      </c>
      <c r="AB581" t="s">
        <v>33</v>
      </c>
      <c r="AC581" s="14" t="s">
        <v>2794</v>
      </c>
      <c r="AD581" t="s">
        <v>2782</v>
      </c>
      <c r="AE581" t="str">
        <f>PROPER(TRIM(AB581))</f>
        <v>Completed</v>
      </c>
      <c r="AS581" t="str">
        <f t="shared" si="11"/>
        <v/>
      </c>
    </row>
    <row r="582" spans="1:45">
      <c r="A582" t="s">
        <v>1832</v>
      </c>
      <c r="B582" s="7">
        <v>45722</v>
      </c>
      <c r="C582" s="4">
        <v>45729</v>
      </c>
      <c r="D582">
        <f>C582-B582</f>
        <v>7</v>
      </c>
      <c r="E582" t="str">
        <f>TEXT(B582,"mmmm")</f>
        <v>March</v>
      </c>
      <c r="F582">
        <f>YEAR(B582)</f>
        <v>2025</v>
      </c>
      <c r="G582" t="s">
        <v>1833</v>
      </c>
      <c r="H582" t="s">
        <v>264</v>
      </c>
      <c r="I582" t="s">
        <v>24</v>
      </c>
      <c r="J582" t="s">
        <v>54</v>
      </c>
      <c r="K582" t="s">
        <v>185</v>
      </c>
      <c r="L582" t="s">
        <v>186</v>
      </c>
      <c r="M582" t="s">
        <v>41</v>
      </c>
      <c r="N582" t="s">
        <v>66</v>
      </c>
      <c r="O582" t="s">
        <v>1834</v>
      </c>
      <c r="P582" t="s">
        <v>59</v>
      </c>
      <c r="Q582">
        <v>3</v>
      </c>
      <c r="R582">
        <v>163.72</v>
      </c>
      <c r="S582">
        <v>0.15</v>
      </c>
      <c r="T582" s="12">
        <f>S582</f>
        <v>0.15</v>
      </c>
      <c r="U582">
        <v>417.49</v>
      </c>
      <c r="V582">
        <f>Q582*R582*(1-S582)</f>
        <v>417.48599999999999</v>
      </c>
      <c r="W582">
        <v>261.67</v>
      </c>
      <c r="X582">
        <v>155.82</v>
      </c>
      <c r="Y582">
        <f>V582-W582</f>
        <v>155.81599999999997</v>
      </c>
      <c r="Z582" s="12">
        <f>Y582/V582</f>
        <v>0.37322449136018926</v>
      </c>
      <c r="AA582" t="s">
        <v>155</v>
      </c>
      <c r="AB582" t="s">
        <v>103</v>
      </c>
      <c r="AC582" s="14" t="s">
        <v>2794</v>
      </c>
      <c r="AD582" t="s">
        <v>2782</v>
      </c>
      <c r="AE582" t="str">
        <f>PROPER(TRIM(AB582))</f>
        <v>Returned</v>
      </c>
      <c r="AS582" t="str">
        <f t="shared" si="11"/>
        <v/>
      </c>
    </row>
    <row r="583" spans="1:45">
      <c r="A583" t="s">
        <v>1835</v>
      </c>
      <c r="B583" s="7">
        <v>45878</v>
      </c>
      <c r="C583" s="4">
        <v>45938</v>
      </c>
      <c r="D583">
        <f>C583-B583</f>
        <v>60</v>
      </c>
      <c r="E583" t="str">
        <f>TEXT(B583,"mmmm")</f>
        <v>August</v>
      </c>
      <c r="F583">
        <f>YEAR(B583)</f>
        <v>2025</v>
      </c>
      <c r="G583" t="s">
        <v>1836</v>
      </c>
      <c r="H583" t="s">
        <v>79</v>
      </c>
      <c r="I583" t="s">
        <v>24</v>
      </c>
      <c r="J583" t="s">
        <v>25</v>
      </c>
      <c r="K583" t="s">
        <v>350</v>
      </c>
      <c r="L583" t="s">
        <v>351</v>
      </c>
      <c r="M583" t="s">
        <v>28</v>
      </c>
      <c r="N583" t="s">
        <v>48</v>
      </c>
      <c r="O583" t="s">
        <v>1837</v>
      </c>
      <c r="P583" t="s">
        <v>31</v>
      </c>
      <c r="Q583">
        <v>4</v>
      </c>
      <c r="R583">
        <v>4080.95</v>
      </c>
      <c r="S583">
        <v>0</v>
      </c>
      <c r="T583" s="12">
        <f>S583</f>
        <v>0</v>
      </c>
      <c r="U583">
        <v>16323.8</v>
      </c>
      <c r="V583">
        <f>Q583*R583*(1-S583)</f>
        <v>16323.8</v>
      </c>
      <c r="W583">
        <v>9965.7900000000009</v>
      </c>
      <c r="X583">
        <v>6358.01</v>
      </c>
      <c r="Y583">
        <f>V583-W583</f>
        <v>6358.0099999999984</v>
      </c>
      <c r="Z583" s="12">
        <f>Y583/V583</f>
        <v>0.38949325524693995</v>
      </c>
      <c r="AA583" t="s">
        <v>102</v>
      </c>
      <c r="AB583" t="s">
        <v>103</v>
      </c>
      <c r="AC583" s="14" t="s">
        <v>2794</v>
      </c>
      <c r="AD583" t="s">
        <v>2782</v>
      </c>
      <c r="AE583" t="str">
        <f>PROPER(TRIM(AB583))</f>
        <v>Returned</v>
      </c>
      <c r="AS583" t="str">
        <f t="shared" si="11"/>
        <v/>
      </c>
    </row>
    <row r="584" spans="1:45">
      <c r="A584" t="s">
        <v>1838</v>
      </c>
      <c r="B584" s="7">
        <v>45580</v>
      </c>
      <c r="C584" s="4">
        <v>45585</v>
      </c>
      <c r="D584">
        <f>C584-B584</f>
        <v>5</v>
      </c>
      <c r="E584" t="str">
        <f>TEXT(B584,"mmmm")</f>
        <v>October</v>
      </c>
      <c r="F584">
        <f>YEAR(B584)</f>
        <v>2024</v>
      </c>
      <c r="G584" t="s">
        <v>1839</v>
      </c>
      <c r="H584" t="s">
        <v>62</v>
      </c>
      <c r="I584" t="s">
        <v>24</v>
      </c>
      <c r="J584" t="s">
        <v>38</v>
      </c>
      <c r="K584" t="s">
        <v>39</v>
      </c>
      <c r="L584" t="s">
        <v>40</v>
      </c>
      <c r="M584" t="s">
        <v>28</v>
      </c>
      <c r="N584" t="s">
        <v>48</v>
      </c>
      <c r="O584" t="s">
        <v>1840</v>
      </c>
      <c r="P584" t="s">
        <v>50</v>
      </c>
      <c r="Q584">
        <v>5</v>
      </c>
      <c r="R584">
        <v>671.24</v>
      </c>
      <c r="S584">
        <v>0</v>
      </c>
      <c r="T584" s="12">
        <f>S584</f>
        <v>0</v>
      </c>
      <c r="U584">
        <v>3356.2</v>
      </c>
      <c r="V584">
        <f>Q584*R584*(1-S584)</f>
        <v>3356.2</v>
      </c>
      <c r="W584">
        <v>2205.7199999999998</v>
      </c>
      <c r="X584">
        <v>1150.48</v>
      </c>
      <c r="Y584">
        <f>V584-W584</f>
        <v>1150.48</v>
      </c>
      <c r="Z584" s="12">
        <f>Y584/V584</f>
        <v>0.34279244383528995</v>
      </c>
      <c r="AA584" t="s">
        <v>111</v>
      </c>
      <c r="AB584" t="s">
        <v>103</v>
      </c>
      <c r="AC584" s="14" t="s">
        <v>2794</v>
      </c>
      <c r="AD584" t="s">
        <v>2782</v>
      </c>
      <c r="AE584" t="str">
        <f>PROPER(TRIM(AB584))</f>
        <v>Returned</v>
      </c>
      <c r="AS584" t="str">
        <f t="shared" si="11"/>
        <v/>
      </c>
    </row>
    <row r="585" spans="1:45">
      <c r="A585" t="s">
        <v>1841</v>
      </c>
      <c r="B585" s="7">
        <v>45350</v>
      </c>
      <c r="C585" s="4">
        <v>45350</v>
      </c>
      <c r="D585">
        <f>C585-B585</f>
        <v>0</v>
      </c>
      <c r="E585" t="str">
        <f>TEXT(B585,"mmmm")</f>
        <v>February</v>
      </c>
      <c r="F585">
        <f>YEAR(B585)</f>
        <v>2024</v>
      </c>
      <c r="G585" t="s">
        <v>1842</v>
      </c>
      <c r="H585" t="s">
        <v>141</v>
      </c>
      <c r="I585" t="s">
        <v>37</v>
      </c>
      <c r="J585" t="s">
        <v>38</v>
      </c>
      <c r="K585" t="s">
        <v>99</v>
      </c>
      <c r="L585" t="s">
        <v>100</v>
      </c>
      <c r="M585" t="s">
        <v>28</v>
      </c>
      <c r="N585" t="s">
        <v>124</v>
      </c>
      <c r="O585" t="s">
        <v>1843</v>
      </c>
      <c r="P585" t="s">
        <v>50</v>
      </c>
      <c r="Q585">
        <v>1</v>
      </c>
      <c r="R585">
        <v>2626.84</v>
      </c>
      <c r="S585">
        <v>0.2</v>
      </c>
      <c r="T585" s="12">
        <f>S585</f>
        <v>0.2</v>
      </c>
      <c r="U585">
        <v>2101.4699999999998</v>
      </c>
      <c r="V585">
        <f>Q585*R585*(1-S585)</f>
        <v>2101.4720000000002</v>
      </c>
      <c r="W585">
        <v>1217.83</v>
      </c>
      <c r="X585">
        <v>883.64</v>
      </c>
      <c r="Y585">
        <f>V585-W585</f>
        <v>883.64200000000028</v>
      </c>
      <c r="Z585" s="12">
        <f>Y585/V585</f>
        <v>0.42048716328364127</v>
      </c>
      <c r="AA585" t="s">
        <v>155</v>
      </c>
      <c r="AB585" t="s">
        <v>103</v>
      </c>
      <c r="AC585" s="14" t="s">
        <v>2794</v>
      </c>
      <c r="AD585" t="s">
        <v>2782</v>
      </c>
      <c r="AE585" t="str">
        <f>PROPER(TRIM(AB585))</f>
        <v>Returned</v>
      </c>
      <c r="AS585" t="str">
        <f t="shared" si="11"/>
        <v/>
      </c>
    </row>
    <row r="586" spans="1:45">
      <c r="A586" t="s">
        <v>1844</v>
      </c>
      <c r="B586" s="7">
        <v>45390</v>
      </c>
      <c r="C586" s="4">
        <v>45514</v>
      </c>
      <c r="D586">
        <f>C586-B586</f>
        <v>124</v>
      </c>
      <c r="E586" t="str">
        <f>TEXT(B586,"mmmm")</f>
        <v>April</v>
      </c>
      <c r="F586">
        <f>YEAR(B586)</f>
        <v>2024</v>
      </c>
      <c r="G586" t="s">
        <v>1845</v>
      </c>
      <c r="H586" t="s">
        <v>71</v>
      </c>
      <c r="I586" t="s">
        <v>24</v>
      </c>
      <c r="J586" t="s">
        <v>38</v>
      </c>
      <c r="K586" t="s">
        <v>145</v>
      </c>
      <c r="L586" t="s">
        <v>146</v>
      </c>
      <c r="M586" t="s">
        <v>28</v>
      </c>
      <c r="N586" t="s">
        <v>48</v>
      </c>
      <c r="O586" t="s">
        <v>1846</v>
      </c>
      <c r="P586" t="s">
        <v>44</v>
      </c>
      <c r="Q586">
        <v>1</v>
      </c>
      <c r="R586">
        <v>984.93</v>
      </c>
      <c r="S586">
        <v>0.15</v>
      </c>
      <c r="T586" s="12">
        <f>S586</f>
        <v>0.15</v>
      </c>
      <c r="U586">
        <v>837.19</v>
      </c>
      <c r="V586">
        <f>Q586*R586*(1-S586)</f>
        <v>837.19049999999993</v>
      </c>
      <c r="W586">
        <v>583.79</v>
      </c>
      <c r="X586">
        <v>253.4</v>
      </c>
      <c r="Y586">
        <f>V586-W586</f>
        <v>253.40049999999997</v>
      </c>
      <c r="Z586" s="12">
        <f>Y586/V586</f>
        <v>0.30267961712417901</v>
      </c>
      <c r="AA586" t="s">
        <v>111</v>
      </c>
      <c r="AB586" t="s">
        <v>103</v>
      </c>
      <c r="AC586" s="14" t="s">
        <v>2794</v>
      </c>
      <c r="AD586" t="s">
        <v>2782</v>
      </c>
      <c r="AE586" t="str">
        <f>PROPER(TRIM(AB586))</f>
        <v>Returned</v>
      </c>
      <c r="AS586" t="str">
        <f t="shared" si="11"/>
        <v/>
      </c>
    </row>
    <row r="587" spans="1:45">
      <c r="A587" t="s">
        <v>1847</v>
      </c>
      <c r="B587" s="7">
        <v>45830</v>
      </c>
      <c r="C587" s="4">
        <v>45833</v>
      </c>
      <c r="D587">
        <f>C587-B587</f>
        <v>3</v>
      </c>
      <c r="E587" t="str">
        <f>TEXT(B587,"mmmm")</f>
        <v>June</v>
      </c>
      <c r="F587">
        <f>YEAR(B587)</f>
        <v>2025</v>
      </c>
      <c r="G587" t="s">
        <v>1848</v>
      </c>
      <c r="H587" t="s">
        <v>162</v>
      </c>
      <c r="I587" t="s">
        <v>37</v>
      </c>
      <c r="J587" t="s">
        <v>63</v>
      </c>
      <c r="K587" t="s">
        <v>64</v>
      </c>
      <c r="L587" t="s">
        <v>65</v>
      </c>
      <c r="M587" t="s">
        <v>74</v>
      </c>
      <c r="N587" t="s">
        <v>171</v>
      </c>
      <c r="O587" t="s">
        <v>1849</v>
      </c>
      <c r="P587" t="s">
        <v>50</v>
      </c>
      <c r="Q587">
        <v>8</v>
      </c>
      <c r="R587">
        <v>3453.66</v>
      </c>
      <c r="S587">
        <v>0</v>
      </c>
      <c r="T587" s="12">
        <f>S587</f>
        <v>0</v>
      </c>
      <c r="U587">
        <v>27629.279999999999</v>
      </c>
      <c r="V587">
        <f>Q587*R587*(1-S587)</f>
        <v>27629.279999999999</v>
      </c>
      <c r="W587">
        <v>22026.48</v>
      </c>
      <c r="X587">
        <v>5602.8</v>
      </c>
      <c r="Y587">
        <f>V587-W587</f>
        <v>5602.7999999999993</v>
      </c>
      <c r="Z587" s="12">
        <f>Y587/V587</f>
        <v>0.20278487170132553</v>
      </c>
      <c r="AA587" t="s">
        <v>32</v>
      </c>
      <c r="AB587" t="s">
        <v>33</v>
      </c>
      <c r="AC587" s="14" t="s">
        <v>2794</v>
      </c>
      <c r="AD587" t="s">
        <v>2782</v>
      </c>
      <c r="AE587" t="str">
        <f>PROPER(TRIM(AB587))</f>
        <v>Completed</v>
      </c>
      <c r="AS587" t="str">
        <f t="shared" si="11"/>
        <v/>
      </c>
    </row>
    <row r="588" spans="1:45">
      <c r="A588" t="s">
        <v>1850</v>
      </c>
      <c r="B588" s="7">
        <v>45759</v>
      </c>
      <c r="C588" s="4">
        <v>45759</v>
      </c>
      <c r="D588">
        <f>C588-B588</f>
        <v>0</v>
      </c>
      <c r="E588" t="str">
        <f>TEXT(B588,"mmmm")</f>
        <v>April</v>
      </c>
      <c r="F588">
        <f>YEAR(B588)</f>
        <v>2025</v>
      </c>
      <c r="G588" t="s">
        <v>1851</v>
      </c>
      <c r="H588" t="s">
        <v>36</v>
      </c>
      <c r="I588" t="s">
        <v>95</v>
      </c>
      <c r="J588" t="s">
        <v>25</v>
      </c>
      <c r="K588" t="s">
        <v>122</v>
      </c>
      <c r="L588" t="s">
        <v>123</v>
      </c>
      <c r="M588" t="s">
        <v>28</v>
      </c>
      <c r="N588" t="s">
        <v>153</v>
      </c>
      <c r="O588" t="s">
        <v>1852</v>
      </c>
      <c r="P588" t="s">
        <v>31</v>
      </c>
      <c r="Q588">
        <v>7</v>
      </c>
      <c r="R588">
        <v>1334.2</v>
      </c>
      <c r="S588">
        <v>0.2</v>
      </c>
      <c r="T588" s="12">
        <f>S588</f>
        <v>0.2</v>
      </c>
      <c r="U588">
        <v>7471.52</v>
      </c>
      <c r="V588">
        <f>Q588*R588*(1-S588)</f>
        <v>7471.52</v>
      </c>
      <c r="W588">
        <v>6184.32</v>
      </c>
      <c r="X588">
        <v>1287.2</v>
      </c>
      <c r="Y588">
        <f>V588-W588</f>
        <v>1287.2000000000007</v>
      </c>
      <c r="Z588" s="12">
        <f>Y588/V588</f>
        <v>0.17228087457438387</v>
      </c>
      <c r="AA588" t="s">
        <v>32</v>
      </c>
      <c r="AB588" t="s">
        <v>33</v>
      </c>
      <c r="AC588" s="14" t="s">
        <v>2794</v>
      </c>
      <c r="AD588" t="s">
        <v>2782</v>
      </c>
      <c r="AE588" t="str">
        <f>PROPER(TRIM(AB588))</f>
        <v>Completed</v>
      </c>
      <c r="AS588" t="str">
        <f t="shared" si="11"/>
        <v/>
      </c>
    </row>
    <row r="589" spans="1:45">
      <c r="A589" t="s">
        <v>1853</v>
      </c>
      <c r="B589" s="7">
        <v>45861</v>
      </c>
      <c r="C589" s="4">
        <v>45869</v>
      </c>
      <c r="D589">
        <f>C589-B589</f>
        <v>8</v>
      </c>
      <c r="E589" t="str">
        <f>TEXT(B589,"mmmm")</f>
        <v>July</v>
      </c>
      <c r="F589">
        <f>YEAR(B589)</f>
        <v>2025</v>
      </c>
      <c r="G589" t="s">
        <v>1854</v>
      </c>
      <c r="H589" t="s">
        <v>264</v>
      </c>
      <c r="I589" t="s">
        <v>95</v>
      </c>
      <c r="J589" t="s">
        <v>63</v>
      </c>
      <c r="K589" t="s">
        <v>72</v>
      </c>
      <c r="L589" t="s">
        <v>73</v>
      </c>
      <c r="M589" t="s">
        <v>74</v>
      </c>
      <c r="N589" t="s">
        <v>75</v>
      </c>
      <c r="O589" t="s">
        <v>1855</v>
      </c>
      <c r="P589" t="s">
        <v>50</v>
      </c>
      <c r="Q589">
        <v>1</v>
      </c>
      <c r="R589">
        <v>4253.84</v>
      </c>
      <c r="S589">
        <v>0.15</v>
      </c>
      <c r="T589" s="12">
        <f>S589</f>
        <v>0.15</v>
      </c>
      <c r="U589">
        <v>3615.76</v>
      </c>
      <c r="V589">
        <f>Q589*R589*(1-S589)</f>
        <v>3615.7640000000001</v>
      </c>
      <c r="W589">
        <v>2951.52</v>
      </c>
      <c r="X589">
        <v>664.24</v>
      </c>
      <c r="Y589">
        <f>V589-W589</f>
        <v>664.24400000000014</v>
      </c>
      <c r="Z589" s="12">
        <f>Y589/V589</f>
        <v>0.18370778623826114</v>
      </c>
      <c r="AA589" t="s">
        <v>102</v>
      </c>
      <c r="AB589" t="s">
        <v>68</v>
      </c>
      <c r="AC589" s="14" t="s">
        <v>2794</v>
      </c>
      <c r="AD589" t="s">
        <v>2782</v>
      </c>
      <c r="AE589" t="str">
        <f>PROPER(TRIM(AB589))</f>
        <v>Cancelled</v>
      </c>
      <c r="AS589" t="str">
        <f t="shared" si="11"/>
        <v/>
      </c>
    </row>
    <row r="590" spans="1:45">
      <c r="A590" t="s">
        <v>1856</v>
      </c>
      <c r="B590" s="7">
        <v>45727</v>
      </c>
      <c r="C590" s="4">
        <v>45731</v>
      </c>
      <c r="D590">
        <f>C590-B590</f>
        <v>4</v>
      </c>
      <c r="E590" t="str">
        <f>TEXT(B590,"mmmm")</f>
        <v>March</v>
      </c>
      <c r="F590">
        <f>YEAR(B590)</f>
        <v>2025</v>
      </c>
      <c r="G590" t="s">
        <v>1857</v>
      </c>
      <c r="H590" t="s">
        <v>128</v>
      </c>
      <c r="I590" t="s">
        <v>95</v>
      </c>
      <c r="J590" t="s">
        <v>54</v>
      </c>
      <c r="K590" t="s">
        <v>175</v>
      </c>
      <c r="L590" t="s">
        <v>176</v>
      </c>
      <c r="M590" t="s">
        <v>74</v>
      </c>
      <c r="N590" t="s">
        <v>75</v>
      </c>
      <c r="O590" t="s">
        <v>1858</v>
      </c>
      <c r="P590" t="s">
        <v>31</v>
      </c>
      <c r="Q590">
        <v>8</v>
      </c>
      <c r="R590">
        <v>4446.3599999999997</v>
      </c>
      <c r="S590">
        <v>0.1</v>
      </c>
      <c r="T590" s="12">
        <f>S590</f>
        <v>0.1</v>
      </c>
      <c r="U590">
        <v>32013.79</v>
      </c>
      <c r="V590">
        <f>Q590*R590*(1-S590)</f>
        <v>32013.791999999998</v>
      </c>
      <c r="W590">
        <v>20896.88</v>
      </c>
      <c r="X590">
        <v>11116.91</v>
      </c>
      <c r="Y590">
        <f>V590-W590</f>
        <v>11116.911999999997</v>
      </c>
      <c r="Z590" s="12">
        <f>Y590/V590</f>
        <v>0.34725383359771933</v>
      </c>
      <c r="AA590" t="s">
        <v>102</v>
      </c>
      <c r="AB590" t="s">
        <v>68</v>
      </c>
      <c r="AC590" s="14" t="s">
        <v>2794</v>
      </c>
      <c r="AD590" t="s">
        <v>2782</v>
      </c>
      <c r="AE590" t="str">
        <f>PROPER(TRIM(AB590))</f>
        <v>Cancelled</v>
      </c>
      <c r="AS590" t="str">
        <f t="shared" si="11"/>
        <v/>
      </c>
    </row>
    <row r="591" spans="1:45">
      <c r="A591" t="s">
        <v>1859</v>
      </c>
      <c r="B591" s="7">
        <v>45632</v>
      </c>
      <c r="C591" s="4">
        <v>45638</v>
      </c>
      <c r="D591">
        <f>C591-B591</f>
        <v>6</v>
      </c>
      <c r="E591" t="str">
        <f>TEXT(B591,"mmmm")</f>
        <v>December</v>
      </c>
      <c r="F591">
        <f>YEAR(B591)</f>
        <v>2024</v>
      </c>
      <c r="G591" t="s">
        <v>1860</v>
      </c>
      <c r="H591" t="s">
        <v>141</v>
      </c>
      <c r="I591" t="s">
        <v>90</v>
      </c>
      <c r="J591" t="s">
        <v>25</v>
      </c>
      <c r="K591" t="s">
        <v>136</v>
      </c>
      <c r="L591" t="s">
        <v>137</v>
      </c>
      <c r="M591" t="s">
        <v>74</v>
      </c>
      <c r="N591" t="s">
        <v>171</v>
      </c>
      <c r="O591" t="s">
        <v>1861</v>
      </c>
      <c r="P591" t="s">
        <v>50</v>
      </c>
      <c r="Q591">
        <v>3</v>
      </c>
      <c r="R591">
        <v>524.75</v>
      </c>
      <c r="S591">
        <v>0</v>
      </c>
      <c r="T591" s="12">
        <f>S591</f>
        <v>0</v>
      </c>
      <c r="U591">
        <v>1574.25</v>
      </c>
      <c r="V591">
        <f>Q591*R591*(1-S591)</f>
        <v>1574.25</v>
      </c>
      <c r="W591">
        <v>1326.12</v>
      </c>
      <c r="X591">
        <v>248.13</v>
      </c>
      <c r="Y591">
        <f>V591-W591</f>
        <v>248.13000000000011</v>
      </c>
      <c r="Z591" s="12">
        <f>Y591/V591</f>
        <v>0.15761791329204389</v>
      </c>
      <c r="AA591" t="s">
        <v>32</v>
      </c>
      <c r="AB591" t="s">
        <v>33</v>
      </c>
      <c r="AC591" s="14" t="s">
        <v>2794</v>
      </c>
      <c r="AD591" t="s">
        <v>2782</v>
      </c>
      <c r="AE591" t="str">
        <f>PROPER(TRIM(AB591))</f>
        <v>Completed</v>
      </c>
      <c r="AS591" t="str">
        <f t="shared" si="11"/>
        <v/>
      </c>
    </row>
    <row r="592" spans="1:45">
      <c r="A592" t="s">
        <v>1862</v>
      </c>
      <c r="B592" s="7">
        <v>45441</v>
      </c>
      <c r="C592" s="4">
        <v>45441</v>
      </c>
      <c r="D592">
        <f>C592-B592</f>
        <v>0</v>
      </c>
      <c r="E592" t="str">
        <f>TEXT(B592,"mmmm")</f>
        <v>May</v>
      </c>
      <c r="F592">
        <f>YEAR(B592)</f>
        <v>2024</v>
      </c>
      <c r="G592" t="s">
        <v>1863</v>
      </c>
      <c r="H592" t="s">
        <v>128</v>
      </c>
      <c r="I592" t="s">
        <v>95</v>
      </c>
      <c r="J592" t="s">
        <v>25</v>
      </c>
      <c r="K592" t="s">
        <v>350</v>
      </c>
      <c r="L592" t="s">
        <v>351</v>
      </c>
      <c r="M592" t="s">
        <v>41</v>
      </c>
      <c r="N592" t="s">
        <v>66</v>
      </c>
      <c r="O592" t="s">
        <v>1864</v>
      </c>
      <c r="P592" t="s">
        <v>44</v>
      </c>
      <c r="Q592">
        <v>6</v>
      </c>
      <c r="R592">
        <v>3430.35</v>
      </c>
      <c r="S592">
        <v>0</v>
      </c>
      <c r="T592" s="12">
        <f>S592</f>
        <v>0</v>
      </c>
      <c r="U592">
        <v>20582.099999999999</v>
      </c>
      <c r="V592">
        <f>Q592*R592*(1-S592)</f>
        <v>20582.099999999999</v>
      </c>
      <c r="W592">
        <v>15897.65</v>
      </c>
      <c r="X592">
        <v>4684.45</v>
      </c>
      <c r="Y592">
        <f>V592-W592</f>
        <v>4684.4499999999989</v>
      </c>
      <c r="Z592" s="12">
        <f>Y592/V592</f>
        <v>0.22759825285077806</v>
      </c>
      <c r="AA592" t="s">
        <v>111</v>
      </c>
      <c r="AB592" t="s">
        <v>68</v>
      </c>
      <c r="AC592" s="14" t="s">
        <v>2794</v>
      </c>
      <c r="AD592" t="s">
        <v>2782</v>
      </c>
      <c r="AE592" t="str">
        <f>PROPER(TRIM(AB592))</f>
        <v>Cancelled</v>
      </c>
      <c r="AS592" t="str">
        <f t="shared" si="11"/>
        <v/>
      </c>
    </row>
    <row r="593" spans="1:45">
      <c r="A593" t="s">
        <v>1865</v>
      </c>
      <c r="B593" s="7">
        <v>45344</v>
      </c>
      <c r="C593" s="4">
        <v>45346</v>
      </c>
      <c r="D593">
        <f>C593-B593</f>
        <v>2</v>
      </c>
      <c r="E593" t="str">
        <f>TEXT(B593,"mmmm")</f>
        <v>February</v>
      </c>
      <c r="F593">
        <f>YEAR(B593)</f>
        <v>2024</v>
      </c>
      <c r="G593" t="s">
        <v>1866</v>
      </c>
      <c r="H593" t="s">
        <v>132</v>
      </c>
      <c r="I593" t="s">
        <v>24</v>
      </c>
      <c r="J593" t="s">
        <v>54</v>
      </c>
      <c r="K593" t="s">
        <v>175</v>
      </c>
      <c r="L593" t="s">
        <v>176</v>
      </c>
      <c r="M593" t="s">
        <v>74</v>
      </c>
      <c r="N593" t="s">
        <v>80</v>
      </c>
      <c r="O593" t="s">
        <v>1867</v>
      </c>
      <c r="P593" t="s">
        <v>50</v>
      </c>
      <c r="Q593">
        <v>3</v>
      </c>
      <c r="R593">
        <v>3545.08</v>
      </c>
      <c r="S593">
        <v>0</v>
      </c>
      <c r="T593" s="12">
        <f>S593</f>
        <v>0</v>
      </c>
      <c r="U593">
        <v>10635.24</v>
      </c>
      <c r="V593">
        <f>Q593*R593*(1-S593)</f>
        <v>10635.24</v>
      </c>
      <c r="W593">
        <v>6031.88</v>
      </c>
      <c r="X593">
        <v>4603.3599999999997</v>
      </c>
      <c r="Y593">
        <f>V593-W593</f>
        <v>4603.3599999999997</v>
      </c>
      <c r="Z593" s="12">
        <f>Y593/V593</f>
        <v>0.43284025560307055</v>
      </c>
      <c r="AA593" t="s">
        <v>155</v>
      </c>
      <c r="AB593" t="s">
        <v>103</v>
      </c>
      <c r="AC593" s="14" t="s">
        <v>2794</v>
      </c>
      <c r="AD593" t="s">
        <v>2782</v>
      </c>
      <c r="AE593" t="str">
        <f>PROPER(TRIM(AB593))</f>
        <v>Returned</v>
      </c>
      <c r="AS593" t="str">
        <f t="shared" si="11"/>
        <v/>
      </c>
    </row>
    <row r="594" spans="1:45">
      <c r="A594" t="s">
        <v>1868</v>
      </c>
      <c r="B594" s="7">
        <v>45355</v>
      </c>
      <c r="C594" s="4">
        <v>45360</v>
      </c>
      <c r="D594">
        <f>C594-B594</f>
        <v>5</v>
      </c>
      <c r="E594" t="str">
        <f>TEXT(B594,"mmmm")</f>
        <v>March</v>
      </c>
      <c r="F594">
        <f>YEAR(B594)</f>
        <v>2024</v>
      </c>
      <c r="G594" t="s">
        <v>1869</v>
      </c>
      <c r="H594" t="s">
        <v>36</v>
      </c>
      <c r="I594" t="s">
        <v>24</v>
      </c>
      <c r="J594" t="s">
        <v>38</v>
      </c>
      <c r="K594" t="s">
        <v>99</v>
      </c>
      <c r="L594" t="s">
        <v>100</v>
      </c>
      <c r="M594" t="s">
        <v>74</v>
      </c>
      <c r="N594" t="s">
        <v>75</v>
      </c>
      <c r="O594" t="s">
        <v>1870</v>
      </c>
      <c r="P594" t="s">
        <v>44</v>
      </c>
      <c r="Q594">
        <v>8</v>
      </c>
      <c r="R594">
        <v>4401.41</v>
      </c>
      <c r="S594">
        <v>0.15</v>
      </c>
      <c r="T594" s="12">
        <f>S594</f>
        <v>0.15</v>
      </c>
      <c r="U594">
        <v>29929.59</v>
      </c>
      <c r="V594">
        <f>Q594*R594*(1-S594)</f>
        <v>29929.588</v>
      </c>
      <c r="W594">
        <v>22436.03</v>
      </c>
      <c r="X594">
        <v>7493.56</v>
      </c>
      <c r="Y594">
        <f>V594-W594</f>
        <v>7493.5580000000009</v>
      </c>
      <c r="Z594" s="12">
        <f>Y594/V594</f>
        <v>0.25037290857461858</v>
      </c>
      <c r="AA594" t="s">
        <v>32</v>
      </c>
      <c r="AB594" t="s">
        <v>33</v>
      </c>
      <c r="AC594" s="14" t="s">
        <v>2794</v>
      </c>
      <c r="AD594" t="s">
        <v>2782</v>
      </c>
      <c r="AE594" t="str">
        <f>PROPER(TRIM(AB594))</f>
        <v>Completed</v>
      </c>
      <c r="AS594" t="str">
        <f t="shared" si="11"/>
        <v/>
      </c>
    </row>
    <row r="595" spans="1:45">
      <c r="A595" t="s">
        <v>1871</v>
      </c>
      <c r="B595" s="7">
        <v>45927</v>
      </c>
      <c r="C595" s="4">
        <v>45929</v>
      </c>
      <c r="D595">
        <f>C595-B595</f>
        <v>2</v>
      </c>
      <c r="E595" t="str">
        <f>TEXT(B595,"mmmm")</f>
        <v>September</v>
      </c>
      <c r="F595">
        <f>YEAR(B595)</f>
        <v>2025</v>
      </c>
      <c r="G595" t="s">
        <v>1663</v>
      </c>
      <c r="H595" t="s">
        <v>53</v>
      </c>
      <c r="I595" t="s">
        <v>95</v>
      </c>
      <c r="J595" t="s">
        <v>25</v>
      </c>
      <c r="K595" t="s">
        <v>136</v>
      </c>
      <c r="L595" t="s">
        <v>137</v>
      </c>
      <c r="M595" t="s">
        <v>41</v>
      </c>
      <c r="N595" t="s">
        <v>42</v>
      </c>
      <c r="O595" t="s">
        <v>1872</v>
      </c>
      <c r="P595" t="s">
        <v>31</v>
      </c>
      <c r="Q595">
        <v>9</v>
      </c>
      <c r="R595">
        <v>4100.1099999999997</v>
      </c>
      <c r="S595">
        <v>0.25</v>
      </c>
      <c r="T595" s="12">
        <f>S595</f>
        <v>0.25</v>
      </c>
      <c r="U595">
        <v>27675.74</v>
      </c>
      <c r="V595">
        <f>Q595*R595*(1-S595)</f>
        <v>27675.7425</v>
      </c>
      <c r="W595">
        <v>15571.08</v>
      </c>
      <c r="X595">
        <v>12104.66</v>
      </c>
      <c r="Y595">
        <f>V595-W595</f>
        <v>12104.6625</v>
      </c>
      <c r="Z595" s="12">
        <f>Y595/V595</f>
        <v>0.4373744444254748</v>
      </c>
      <c r="AA595" t="s">
        <v>32</v>
      </c>
      <c r="AB595" t="s">
        <v>33</v>
      </c>
      <c r="AC595" s="14" t="s">
        <v>2794</v>
      </c>
      <c r="AD595" t="s">
        <v>2782</v>
      </c>
      <c r="AE595" t="str">
        <f>PROPER(TRIM(AB595))</f>
        <v>Completed</v>
      </c>
      <c r="AS595" t="str">
        <f t="shared" si="11"/>
        <v/>
      </c>
    </row>
    <row r="596" spans="1:45">
      <c r="A596" t="s">
        <v>1873</v>
      </c>
      <c r="B596" s="7">
        <v>45554</v>
      </c>
      <c r="C596" s="4">
        <v>45556</v>
      </c>
      <c r="D596">
        <f>C596-B596</f>
        <v>2</v>
      </c>
      <c r="E596" t="str">
        <f>TEXT(B596,"mmmm")</f>
        <v>September</v>
      </c>
      <c r="F596">
        <f>YEAR(B596)</f>
        <v>2024</v>
      </c>
      <c r="G596" t="s">
        <v>1874</v>
      </c>
      <c r="H596" t="s">
        <v>23</v>
      </c>
      <c r="I596" t="s">
        <v>37</v>
      </c>
      <c r="J596" t="s">
        <v>38</v>
      </c>
      <c r="K596" t="s">
        <v>99</v>
      </c>
      <c r="L596" t="s">
        <v>100</v>
      </c>
      <c r="M596" t="s">
        <v>41</v>
      </c>
      <c r="N596" t="s">
        <v>66</v>
      </c>
      <c r="O596" t="s">
        <v>1875</v>
      </c>
      <c r="P596" t="s">
        <v>50</v>
      </c>
      <c r="Q596">
        <v>3</v>
      </c>
      <c r="R596">
        <v>3981.76</v>
      </c>
      <c r="S596">
        <v>0</v>
      </c>
      <c r="T596" s="12">
        <f>S596</f>
        <v>0</v>
      </c>
      <c r="U596">
        <v>11945.28</v>
      </c>
      <c r="V596">
        <f>Q596*R596*(1-S596)</f>
        <v>11945.28</v>
      </c>
      <c r="W596">
        <v>9700.31</v>
      </c>
      <c r="X596">
        <v>2244.9699999999998</v>
      </c>
      <c r="Y596">
        <f>V596-W596</f>
        <v>2244.9700000000012</v>
      </c>
      <c r="Z596" s="12">
        <f>Y596/V596</f>
        <v>0.18793782983739193</v>
      </c>
      <c r="AA596" t="s">
        <v>32</v>
      </c>
      <c r="AB596" t="s">
        <v>33</v>
      </c>
      <c r="AC596" s="14" t="s">
        <v>2794</v>
      </c>
      <c r="AD596" t="s">
        <v>2782</v>
      </c>
      <c r="AE596" t="str">
        <f>PROPER(TRIM(AB596))</f>
        <v>Completed</v>
      </c>
      <c r="AS596" t="str">
        <f t="shared" si="11"/>
        <v/>
      </c>
    </row>
    <row r="597" spans="1:45">
      <c r="A597" t="s">
        <v>1876</v>
      </c>
      <c r="B597" s="7">
        <v>45963</v>
      </c>
      <c r="C597" s="4">
        <v>45704</v>
      </c>
      <c r="D597" s="10">
        <f>C597-B597</f>
        <v>-259</v>
      </c>
      <c r="E597" t="str">
        <f>TEXT(B597,"mmmm")</f>
        <v>November</v>
      </c>
      <c r="F597">
        <f>YEAR(B597)</f>
        <v>2025</v>
      </c>
      <c r="G597" t="s">
        <v>1877</v>
      </c>
      <c r="H597" t="s">
        <v>36</v>
      </c>
      <c r="I597" t="s">
        <v>90</v>
      </c>
      <c r="J597" t="s">
        <v>25</v>
      </c>
      <c r="K597" t="s">
        <v>136</v>
      </c>
      <c r="L597" t="s">
        <v>137</v>
      </c>
      <c r="M597" t="s">
        <v>74</v>
      </c>
      <c r="N597" t="s">
        <v>171</v>
      </c>
      <c r="O597" t="s">
        <v>1878</v>
      </c>
      <c r="P597" t="s">
        <v>50</v>
      </c>
      <c r="Q597">
        <v>8</v>
      </c>
      <c r="R597">
        <v>1825.56</v>
      </c>
      <c r="S597">
        <v>0.1</v>
      </c>
      <c r="T597" s="12">
        <f>S597</f>
        <v>0.1</v>
      </c>
      <c r="U597">
        <v>13144.03</v>
      </c>
      <c r="V597">
        <f>Q597*R597*(1-S597)</f>
        <v>13144.031999999999</v>
      </c>
      <c r="W597">
        <v>9764</v>
      </c>
      <c r="X597">
        <v>3380.03</v>
      </c>
      <c r="Y597">
        <f>V597-W597</f>
        <v>3380.0319999999992</v>
      </c>
      <c r="Z597" s="12">
        <f>Y597/V597</f>
        <v>0.25715336055176974</v>
      </c>
      <c r="AA597" t="s">
        <v>32</v>
      </c>
      <c r="AB597" t="s">
        <v>33</v>
      </c>
      <c r="AC597" s="10" t="s">
        <v>2792</v>
      </c>
      <c r="AD597" t="s">
        <v>2782</v>
      </c>
      <c r="AE597" t="str">
        <f>PROPER(TRIM(AB597))</f>
        <v>Completed</v>
      </c>
      <c r="AS597" t="str">
        <f t="shared" si="11"/>
        <v/>
      </c>
    </row>
    <row r="598" spans="1:45">
      <c r="A598" t="s">
        <v>1879</v>
      </c>
      <c r="B598" s="7">
        <v>45392</v>
      </c>
      <c r="C598" s="4">
        <v>45398</v>
      </c>
      <c r="D598">
        <f>C598-B598</f>
        <v>6</v>
      </c>
      <c r="E598" t="str">
        <f>TEXT(B598,"mmmm")</f>
        <v>April</v>
      </c>
      <c r="F598">
        <f>YEAR(B598)</f>
        <v>2024</v>
      </c>
      <c r="G598" t="s">
        <v>1880</v>
      </c>
      <c r="H598" t="s">
        <v>89</v>
      </c>
      <c r="I598" t="s">
        <v>24</v>
      </c>
      <c r="J598" t="s">
        <v>54</v>
      </c>
      <c r="K598" t="s">
        <v>185</v>
      </c>
      <c r="L598" t="s">
        <v>186</v>
      </c>
      <c r="M598" t="s">
        <v>41</v>
      </c>
      <c r="N598" t="s">
        <v>66</v>
      </c>
      <c r="O598" t="s">
        <v>1881</v>
      </c>
      <c r="P598" t="s">
        <v>31</v>
      </c>
      <c r="Q598">
        <v>9</v>
      </c>
      <c r="R598">
        <v>2723.26</v>
      </c>
      <c r="S598">
        <v>0.25</v>
      </c>
      <c r="T598" s="12">
        <f>S598</f>
        <v>0.25</v>
      </c>
      <c r="U598">
        <v>18382.009999999998</v>
      </c>
      <c r="V598">
        <f>Q598*R598*(1-S598)</f>
        <v>18382.005000000005</v>
      </c>
      <c r="W598">
        <v>13108.2</v>
      </c>
      <c r="X598">
        <v>5273.81</v>
      </c>
      <c r="Y598">
        <f>V598-W598</f>
        <v>5273.8050000000039</v>
      </c>
      <c r="Z598" s="12">
        <f>Y598/V598</f>
        <v>0.28690042245119629</v>
      </c>
      <c r="AA598" t="s">
        <v>32</v>
      </c>
      <c r="AB598" t="s">
        <v>33</v>
      </c>
      <c r="AC598" s="14" t="s">
        <v>2794</v>
      </c>
      <c r="AD598" t="s">
        <v>2782</v>
      </c>
      <c r="AE598" t="str">
        <f>PROPER(TRIM(AB598))</f>
        <v>Completed</v>
      </c>
      <c r="AS598" t="str">
        <f t="shared" si="11"/>
        <v/>
      </c>
    </row>
    <row r="599" spans="1:45">
      <c r="A599" t="s">
        <v>1882</v>
      </c>
      <c r="B599" s="7">
        <v>45846</v>
      </c>
      <c r="C599" s="4">
        <v>45876</v>
      </c>
      <c r="D599">
        <f>C599-B599</f>
        <v>30</v>
      </c>
      <c r="E599" t="str">
        <f>TEXT(B599,"mmmm")</f>
        <v>July</v>
      </c>
      <c r="F599">
        <f>YEAR(B599)</f>
        <v>2025</v>
      </c>
      <c r="G599" t="s">
        <v>1883</v>
      </c>
      <c r="H599" t="s">
        <v>89</v>
      </c>
      <c r="I599" t="s">
        <v>24</v>
      </c>
      <c r="J599" t="s">
        <v>54</v>
      </c>
      <c r="K599" t="s">
        <v>55</v>
      </c>
      <c r="L599" t="s">
        <v>56</v>
      </c>
      <c r="M599" t="s">
        <v>74</v>
      </c>
      <c r="N599" t="s">
        <v>80</v>
      </c>
      <c r="O599" t="s">
        <v>1884</v>
      </c>
      <c r="P599" t="s">
        <v>44</v>
      </c>
      <c r="Q599">
        <v>9</v>
      </c>
      <c r="R599">
        <v>274.88</v>
      </c>
      <c r="S599">
        <v>0.25</v>
      </c>
      <c r="T599" s="12">
        <f>S599</f>
        <v>0.25</v>
      </c>
      <c r="U599">
        <v>1855.44</v>
      </c>
      <c r="V599">
        <f>Q599*R599*(1-S599)</f>
        <v>1855.44</v>
      </c>
      <c r="W599">
        <v>1262.74</v>
      </c>
      <c r="X599">
        <v>592.70000000000005</v>
      </c>
      <c r="Y599">
        <f>V599-W599</f>
        <v>592.70000000000005</v>
      </c>
      <c r="Z599" s="12">
        <f>Y599/V599</f>
        <v>0.3194390548872505</v>
      </c>
      <c r="AA599" t="s">
        <v>32</v>
      </c>
      <c r="AB599" t="s">
        <v>33</v>
      </c>
      <c r="AC599" s="14" t="s">
        <v>2794</v>
      </c>
      <c r="AD599" t="s">
        <v>2782</v>
      </c>
      <c r="AE599" t="str">
        <f>PROPER(TRIM(AB599))</f>
        <v>Completed</v>
      </c>
      <c r="AS599" t="str">
        <f t="shared" si="11"/>
        <v/>
      </c>
    </row>
    <row r="600" spans="1:45">
      <c r="A600" t="s">
        <v>1885</v>
      </c>
      <c r="B600" s="7">
        <v>45521</v>
      </c>
      <c r="C600" s="4">
        <v>45528</v>
      </c>
      <c r="D600">
        <f>C600-B600</f>
        <v>7</v>
      </c>
      <c r="E600" t="str">
        <f>TEXT(B600,"mmmm")</f>
        <v>August</v>
      </c>
      <c r="F600">
        <f>YEAR(B600)</f>
        <v>2024</v>
      </c>
      <c r="G600" t="s">
        <v>1886</v>
      </c>
      <c r="H600" t="s">
        <v>62</v>
      </c>
      <c r="I600" t="s">
        <v>90</v>
      </c>
      <c r="J600" t="s">
        <v>38</v>
      </c>
      <c r="K600" t="s">
        <v>99</v>
      </c>
      <c r="L600" t="s">
        <v>100</v>
      </c>
      <c r="M600" t="s">
        <v>74</v>
      </c>
      <c r="N600" t="s">
        <v>80</v>
      </c>
      <c r="O600" t="s">
        <v>1887</v>
      </c>
      <c r="P600" t="s">
        <v>44</v>
      </c>
      <c r="Q600">
        <v>3</v>
      </c>
      <c r="R600">
        <v>1490.69</v>
      </c>
      <c r="S600">
        <v>0.25</v>
      </c>
      <c r="T600" s="12">
        <f>S600</f>
        <v>0.25</v>
      </c>
      <c r="U600">
        <v>3354.05</v>
      </c>
      <c r="V600">
        <f>Q600*R600*(1-S600)</f>
        <v>3354.0524999999998</v>
      </c>
      <c r="W600">
        <v>2672.67</v>
      </c>
      <c r="X600">
        <v>681.38</v>
      </c>
      <c r="Y600">
        <f>V600-W600</f>
        <v>681.38249999999971</v>
      </c>
      <c r="Z600" s="12">
        <f>Y600/V600</f>
        <v>0.20315200790685289</v>
      </c>
      <c r="AA600" t="s">
        <v>32</v>
      </c>
      <c r="AB600" t="s">
        <v>33</v>
      </c>
      <c r="AC600" s="14" t="s">
        <v>2794</v>
      </c>
      <c r="AD600" t="s">
        <v>2782</v>
      </c>
      <c r="AE600" t="str">
        <f>PROPER(TRIM(AB600))</f>
        <v>Completed</v>
      </c>
      <c r="AS600" t="str">
        <f t="shared" si="11"/>
        <v/>
      </c>
    </row>
    <row r="601" spans="1:45">
      <c r="A601" t="s">
        <v>1888</v>
      </c>
      <c r="B601" s="7">
        <v>45523</v>
      </c>
      <c r="C601" s="4">
        <v>45525</v>
      </c>
      <c r="D601">
        <f>C601-B601</f>
        <v>2</v>
      </c>
      <c r="E601" t="str">
        <f>TEXT(B601,"mmmm")</f>
        <v>August</v>
      </c>
      <c r="F601">
        <f>YEAR(B601)</f>
        <v>2024</v>
      </c>
      <c r="G601" t="s">
        <v>1889</v>
      </c>
      <c r="H601" t="s">
        <v>53</v>
      </c>
      <c r="I601" t="s">
        <v>24</v>
      </c>
      <c r="J601" t="s">
        <v>25</v>
      </c>
      <c r="K601" t="s">
        <v>122</v>
      </c>
      <c r="L601" t="s">
        <v>123</v>
      </c>
      <c r="M601" t="s">
        <v>74</v>
      </c>
      <c r="N601" t="s">
        <v>171</v>
      </c>
      <c r="O601" t="s">
        <v>1890</v>
      </c>
      <c r="P601" t="s">
        <v>50</v>
      </c>
      <c r="Q601">
        <v>3</v>
      </c>
      <c r="R601">
        <v>1103.54</v>
      </c>
      <c r="S601">
        <v>0.25</v>
      </c>
      <c r="T601" s="12">
        <f>S601</f>
        <v>0.25</v>
      </c>
      <c r="U601">
        <v>2482.9699999999998</v>
      </c>
      <c r="V601">
        <f>Q601*R601*(1-S601)</f>
        <v>2482.9650000000001</v>
      </c>
      <c r="W601">
        <v>1621.72</v>
      </c>
      <c r="X601">
        <v>861.25</v>
      </c>
      <c r="Y601">
        <f>V601-W601</f>
        <v>861.24500000000012</v>
      </c>
      <c r="Z601" s="12">
        <f>Y601/V601</f>
        <v>0.34686151435884116</v>
      </c>
      <c r="AA601" t="s">
        <v>32</v>
      </c>
      <c r="AB601" t="s">
        <v>33</v>
      </c>
      <c r="AC601" s="14" t="s">
        <v>2794</v>
      </c>
      <c r="AD601" t="s">
        <v>2782</v>
      </c>
      <c r="AE601" t="str">
        <f>PROPER(TRIM(AB601))</f>
        <v>Completed</v>
      </c>
      <c r="AS601" t="str">
        <f t="shared" si="11"/>
        <v/>
      </c>
    </row>
    <row r="602" spans="1:45">
      <c r="A602" t="s">
        <v>1891</v>
      </c>
      <c r="B602" s="7">
        <v>45721</v>
      </c>
      <c r="C602" s="4">
        <v>45728</v>
      </c>
      <c r="D602">
        <f>C602-B602</f>
        <v>7</v>
      </c>
      <c r="E602" t="str">
        <f>TEXT(B602,"mmmm")</f>
        <v>March</v>
      </c>
      <c r="F602">
        <f>YEAR(B602)</f>
        <v>2025</v>
      </c>
      <c r="G602" t="s">
        <v>1892</v>
      </c>
      <c r="H602" t="s">
        <v>62</v>
      </c>
      <c r="I602" t="s">
        <v>90</v>
      </c>
      <c r="J602" t="s">
        <v>63</v>
      </c>
      <c r="K602" t="s">
        <v>72</v>
      </c>
      <c r="L602" t="s">
        <v>73</v>
      </c>
      <c r="M602" t="s">
        <v>28</v>
      </c>
      <c r="N602" t="s">
        <v>124</v>
      </c>
      <c r="O602" t="s">
        <v>1893</v>
      </c>
      <c r="P602" t="s">
        <v>44</v>
      </c>
      <c r="Q602">
        <v>3</v>
      </c>
      <c r="R602">
        <v>3682.75</v>
      </c>
      <c r="S602">
        <v>0</v>
      </c>
      <c r="T602" s="12">
        <f>S602</f>
        <v>0</v>
      </c>
      <c r="U602">
        <v>11048.25</v>
      </c>
      <c r="V602">
        <f>Q602*R602*(1-S602)</f>
        <v>11048.25</v>
      </c>
      <c r="W602">
        <v>9062.7199999999993</v>
      </c>
      <c r="X602">
        <v>1985.53</v>
      </c>
      <c r="Y602">
        <f>V602-W602</f>
        <v>1985.5300000000007</v>
      </c>
      <c r="Z602" s="12">
        <f>Y602/V602</f>
        <v>0.17971443441268986</v>
      </c>
      <c r="AA602" t="s">
        <v>32</v>
      </c>
      <c r="AB602" t="s">
        <v>33</v>
      </c>
      <c r="AC602" s="14" t="s">
        <v>2794</v>
      </c>
      <c r="AD602" t="s">
        <v>2782</v>
      </c>
      <c r="AE602" t="str">
        <f>PROPER(TRIM(AB602))</f>
        <v>Completed</v>
      </c>
      <c r="AS602" t="str">
        <f t="shared" si="11"/>
        <v/>
      </c>
    </row>
    <row r="603" spans="1:45">
      <c r="A603" t="s">
        <v>1894</v>
      </c>
      <c r="B603" s="7">
        <v>45317</v>
      </c>
      <c r="C603" s="4">
        <v>45322</v>
      </c>
      <c r="D603">
        <f>C603-B603</f>
        <v>5</v>
      </c>
      <c r="E603" t="str">
        <f>TEXT(B603,"mmmm")</f>
        <v>January</v>
      </c>
      <c r="F603">
        <f>YEAR(B603)</f>
        <v>2024</v>
      </c>
      <c r="G603" t="s">
        <v>1895</v>
      </c>
      <c r="H603" t="s">
        <v>62</v>
      </c>
      <c r="I603" t="s">
        <v>95</v>
      </c>
      <c r="J603" t="s">
        <v>38</v>
      </c>
      <c r="K603" t="s">
        <v>99</v>
      </c>
      <c r="L603" t="s">
        <v>100</v>
      </c>
      <c r="M603" t="s">
        <v>28</v>
      </c>
      <c r="N603" t="s">
        <v>29</v>
      </c>
      <c r="O603" t="s">
        <v>1896</v>
      </c>
      <c r="P603" t="s">
        <v>31</v>
      </c>
      <c r="Q603">
        <v>5</v>
      </c>
      <c r="R603">
        <v>1615.03</v>
      </c>
      <c r="S603">
        <v>0.2</v>
      </c>
      <c r="T603" s="12">
        <f>S603</f>
        <v>0.2</v>
      </c>
      <c r="U603">
        <v>6460.12</v>
      </c>
      <c r="V603">
        <f>Q603*R603*(1-S603)</f>
        <v>6460.12</v>
      </c>
      <c r="W603">
        <v>3604.03</v>
      </c>
      <c r="X603">
        <v>2856.09</v>
      </c>
      <c r="Y603">
        <f>V603-W603</f>
        <v>2856.0899999999997</v>
      </c>
      <c r="Z603" s="12">
        <f>Y603/V603</f>
        <v>0.44211098245853014</v>
      </c>
      <c r="AA603" t="s">
        <v>32</v>
      </c>
      <c r="AB603" t="s">
        <v>33</v>
      </c>
      <c r="AC603" s="14" t="s">
        <v>2794</v>
      </c>
      <c r="AD603" t="s">
        <v>2782</v>
      </c>
      <c r="AE603" t="str">
        <f>PROPER(TRIM(AB603))</f>
        <v>Completed</v>
      </c>
      <c r="AS603" t="str">
        <f t="shared" si="11"/>
        <v/>
      </c>
    </row>
    <row r="604" spans="1:45">
      <c r="A604" t="s">
        <v>1897</v>
      </c>
      <c r="B604" s="7">
        <v>45588</v>
      </c>
      <c r="C604" s="4">
        <v>45595</v>
      </c>
      <c r="D604">
        <f>C604-B604</f>
        <v>7</v>
      </c>
      <c r="E604" t="str">
        <f>TEXT(B604,"mmmm")</f>
        <v>October</v>
      </c>
      <c r="F604">
        <f>YEAR(B604)</f>
        <v>2024</v>
      </c>
      <c r="G604" t="s">
        <v>1898</v>
      </c>
      <c r="H604" t="s">
        <v>128</v>
      </c>
      <c r="I604" t="s">
        <v>24</v>
      </c>
      <c r="J604" t="s">
        <v>38</v>
      </c>
      <c r="K604" t="s">
        <v>228</v>
      </c>
      <c r="L604" t="s">
        <v>229</v>
      </c>
      <c r="M604" t="s">
        <v>74</v>
      </c>
      <c r="N604" t="s">
        <v>80</v>
      </c>
      <c r="O604" t="s">
        <v>1899</v>
      </c>
      <c r="P604" t="s">
        <v>31</v>
      </c>
      <c r="Q604">
        <v>9</v>
      </c>
      <c r="R604">
        <v>3423.82</v>
      </c>
      <c r="S604">
        <v>0.15</v>
      </c>
      <c r="T604" s="12">
        <f>S604</f>
        <v>0.15</v>
      </c>
      <c r="U604">
        <v>26192.22</v>
      </c>
      <c r="V604">
        <f>Q604*R604*(1-S604)</f>
        <v>26192.223000000002</v>
      </c>
      <c r="W604">
        <v>20795.55</v>
      </c>
      <c r="X604">
        <v>5396.67</v>
      </c>
      <c r="Y604">
        <f>V604-W604</f>
        <v>5396.6730000000025</v>
      </c>
      <c r="Z604" s="12">
        <f>Y604/V604</f>
        <v>0.20604104508426041</v>
      </c>
      <c r="AA604" t="s">
        <v>32</v>
      </c>
      <c r="AB604" t="s">
        <v>33</v>
      </c>
      <c r="AC604" s="14" t="s">
        <v>2794</v>
      </c>
      <c r="AD604" t="s">
        <v>2782</v>
      </c>
      <c r="AE604" t="str">
        <f>PROPER(TRIM(AB604))</f>
        <v>Completed</v>
      </c>
      <c r="AS604" t="str">
        <f t="shared" si="11"/>
        <v/>
      </c>
    </row>
    <row r="605" spans="1:45">
      <c r="A605" t="s">
        <v>1900</v>
      </c>
      <c r="B605" s="7">
        <v>45717</v>
      </c>
      <c r="C605" s="4">
        <v>45668</v>
      </c>
      <c r="D605" s="10">
        <f>C605-B605</f>
        <v>-49</v>
      </c>
      <c r="E605" t="str">
        <f>TEXT(B605,"mmmm")</f>
        <v>March</v>
      </c>
      <c r="F605">
        <f>YEAR(B605)</f>
        <v>2025</v>
      </c>
      <c r="G605" t="s">
        <v>334</v>
      </c>
      <c r="H605" t="s">
        <v>71</v>
      </c>
      <c r="I605" t="s">
        <v>90</v>
      </c>
      <c r="J605" t="s">
        <v>38</v>
      </c>
      <c r="K605" t="s">
        <v>145</v>
      </c>
      <c r="L605" t="s">
        <v>146</v>
      </c>
      <c r="M605" t="s">
        <v>74</v>
      </c>
      <c r="N605" t="s">
        <v>75</v>
      </c>
      <c r="O605" t="s">
        <v>1901</v>
      </c>
      <c r="P605" t="s">
        <v>50</v>
      </c>
      <c r="Q605">
        <v>8</v>
      </c>
      <c r="R605">
        <v>2574.29</v>
      </c>
      <c r="S605">
        <v>0.05</v>
      </c>
      <c r="T605" s="12">
        <f>S605</f>
        <v>0.05</v>
      </c>
      <c r="U605">
        <v>19564.599999999999</v>
      </c>
      <c r="V605">
        <f>Q605*R605*(1-S605)</f>
        <v>19564.603999999999</v>
      </c>
      <c r="W605">
        <v>11154.59</v>
      </c>
      <c r="X605">
        <v>8410.01</v>
      </c>
      <c r="Y605">
        <f>V605-W605</f>
        <v>8410.0139999999992</v>
      </c>
      <c r="Z605" s="12">
        <f>Y605/V605</f>
        <v>0.42985863654587642</v>
      </c>
      <c r="AA605" t="s">
        <v>111</v>
      </c>
      <c r="AB605" t="s">
        <v>68</v>
      </c>
      <c r="AC605" s="10" t="s">
        <v>2792</v>
      </c>
      <c r="AD605" t="s">
        <v>2782</v>
      </c>
      <c r="AE605" t="str">
        <f>PROPER(TRIM(AB605))</f>
        <v>Cancelled</v>
      </c>
      <c r="AS605" t="str">
        <f t="shared" si="11"/>
        <v/>
      </c>
    </row>
    <row r="606" spans="1:45">
      <c r="A606" t="s">
        <v>1902</v>
      </c>
      <c r="B606" s="7">
        <v>45693</v>
      </c>
      <c r="C606" s="4">
        <v>45810</v>
      </c>
      <c r="D606">
        <f>C606-B606</f>
        <v>117</v>
      </c>
      <c r="E606" t="str">
        <f>TEXT(B606,"mmmm")</f>
        <v>February</v>
      </c>
      <c r="F606">
        <f>YEAR(B606)</f>
        <v>2025</v>
      </c>
      <c r="G606" t="s">
        <v>1903</v>
      </c>
      <c r="H606" t="s">
        <v>62</v>
      </c>
      <c r="I606" t="s">
        <v>24</v>
      </c>
      <c r="J606" t="s">
        <v>63</v>
      </c>
      <c r="K606" t="s">
        <v>72</v>
      </c>
      <c r="L606" t="s">
        <v>73</v>
      </c>
      <c r="M606" t="s">
        <v>28</v>
      </c>
      <c r="N606" t="s">
        <v>153</v>
      </c>
      <c r="O606" t="s">
        <v>1904</v>
      </c>
      <c r="P606" t="s">
        <v>44</v>
      </c>
      <c r="Q606">
        <v>3</v>
      </c>
      <c r="R606">
        <v>1076.3</v>
      </c>
      <c r="S606">
        <v>0</v>
      </c>
      <c r="T606" s="12">
        <f>S606</f>
        <v>0</v>
      </c>
      <c r="U606">
        <v>3228.9</v>
      </c>
      <c r="V606">
        <f>Q606*R606*(1-S606)</f>
        <v>3228.8999999999996</v>
      </c>
      <c r="W606">
        <v>1853.23</v>
      </c>
      <c r="X606">
        <v>1375.67</v>
      </c>
      <c r="Y606">
        <f>V606-W606</f>
        <v>1375.6699999999996</v>
      </c>
      <c r="Z606" s="12">
        <f>Y606/V606</f>
        <v>0.42604911889497965</v>
      </c>
      <c r="AA606" t="s">
        <v>32</v>
      </c>
      <c r="AB606" t="s">
        <v>33</v>
      </c>
      <c r="AC606" s="14" t="s">
        <v>2794</v>
      </c>
      <c r="AD606" t="s">
        <v>2782</v>
      </c>
      <c r="AE606" t="str">
        <f>PROPER(TRIM(AB606))</f>
        <v>Completed</v>
      </c>
      <c r="AS606" t="str">
        <f t="shared" si="11"/>
        <v/>
      </c>
    </row>
    <row r="607" spans="1:45">
      <c r="A607" t="s">
        <v>1905</v>
      </c>
      <c r="B607" s="7">
        <v>45847</v>
      </c>
      <c r="C607" s="4">
        <v>45851</v>
      </c>
      <c r="D607">
        <f>C607-B607</f>
        <v>4</v>
      </c>
      <c r="E607" t="str">
        <f>TEXT(B607,"mmmm")</f>
        <v>July</v>
      </c>
      <c r="F607">
        <f>YEAR(B607)</f>
        <v>2025</v>
      </c>
      <c r="G607" t="s">
        <v>1906</v>
      </c>
      <c r="H607" t="s">
        <v>264</v>
      </c>
      <c r="I607" t="s">
        <v>90</v>
      </c>
      <c r="J607" t="s">
        <v>63</v>
      </c>
      <c r="K607" t="s">
        <v>190</v>
      </c>
      <c r="L607" t="s">
        <v>191</v>
      </c>
      <c r="M607" t="s">
        <v>41</v>
      </c>
      <c r="N607" t="s">
        <v>57</v>
      </c>
      <c r="O607" t="s">
        <v>1907</v>
      </c>
      <c r="P607" t="s">
        <v>31</v>
      </c>
      <c r="Q607">
        <v>5</v>
      </c>
      <c r="R607">
        <v>1680.01</v>
      </c>
      <c r="S607" s="3">
        <v>0.85</v>
      </c>
      <c r="T607" s="13">
        <f>S607</f>
        <v>0.85</v>
      </c>
      <c r="U607">
        <v>7560.04</v>
      </c>
      <c r="V607">
        <f>Q607*R607*(1-S607)</f>
        <v>1260.0075000000002</v>
      </c>
      <c r="W607">
        <v>6448.05</v>
      </c>
      <c r="X607">
        <v>1111.99</v>
      </c>
      <c r="Y607">
        <f>V607-W607</f>
        <v>-5188.0424999999996</v>
      </c>
      <c r="Z607" s="12">
        <f>Y607/V607</f>
        <v>-4.1174695388717915</v>
      </c>
      <c r="AA607" t="s">
        <v>32</v>
      </c>
      <c r="AB607" t="s">
        <v>68</v>
      </c>
      <c r="AC607" s="10" t="s">
        <v>2793</v>
      </c>
      <c r="AD607" t="s">
        <v>2782</v>
      </c>
      <c r="AE607" t="str">
        <f>PROPER(TRIM(AB607))</f>
        <v>Cancelled</v>
      </c>
      <c r="AS607" t="str">
        <f t="shared" si="11"/>
        <v/>
      </c>
    </row>
    <row r="608" spans="1:45">
      <c r="A608" t="s">
        <v>1908</v>
      </c>
      <c r="B608" s="7">
        <v>45710</v>
      </c>
      <c r="C608" s="4">
        <v>45716</v>
      </c>
      <c r="D608">
        <f>C608-B608</f>
        <v>6</v>
      </c>
      <c r="E608" t="str">
        <f>TEXT(B608,"mmmm")</f>
        <v>February</v>
      </c>
      <c r="F608">
        <f>YEAR(B608)</f>
        <v>2025</v>
      </c>
      <c r="G608" t="s">
        <v>1909</v>
      </c>
      <c r="H608" t="s">
        <v>118</v>
      </c>
      <c r="I608" t="s">
        <v>95</v>
      </c>
      <c r="J608" t="s">
        <v>63</v>
      </c>
      <c r="K608" t="s">
        <v>72</v>
      </c>
      <c r="L608" t="s">
        <v>73</v>
      </c>
      <c r="M608" t="s">
        <v>74</v>
      </c>
      <c r="N608" t="s">
        <v>80</v>
      </c>
      <c r="O608" t="s">
        <v>1910</v>
      </c>
      <c r="P608" t="s">
        <v>44</v>
      </c>
      <c r="Q608">
        <v>3</v>
      </c>
      <c r="R608">
        <v>3890.81</v>
      </c>
      <c r="S608">
        <v>0.25</v>
      </c>
      <c r="T608" s="12">
        <f>S608</f>
        <v>0.25</v>
      </c>
      <c r="U608">
        <v>8754.32</v>
      </c>
      <c r="V608">
        <f>Q608*R608*(1-S608)</f>
        <v>8754.3225000000002</v>
      </c>
      <c r="W608">
        <v>6238.9</v>
      </c>
      <c r="X608">
        <v>2515.42</v>
      </c>
      <c r="Y608">
        <f>V608-W608</f>
        <v>2515.4225000000006</v>
      </c>
      <c r="Z608" s="12">
        <f>Y608/V608</f>
        <v>0.28733491369549163</v>
      </c>
      <c r="AA608" t="s">
        <v>32</v>
      </c>
      <c r="AB608" t="s">
        <v>33</v>
      </c>
      <c r="AC608" s="14" t="s">
        <v>2794</v>
      </c>
      <c r="AD608" t="s">
        <v>2782</v>
      </c>
      <c r="AE608" t="str">
        <f>PROPER(TRIM(AB608))</f>
        <v>Completed</v>
      </c>
      <c r="AS608" t="str">
        <f t="shared" si="11"/>
        <v/>
      </c>
    </row>
    <row r="609" spans="1:45">
      <c r="A609" t="s">
        <v>1911</v>
      </c>
      <c r="B609" s="7">
        <v>45704</v>
      </c>
      <c r="C609" s="4">
        <v>45710</v>
      </c>
      <c r="D609">
        <f>C609-B609</f>
        <v>6</v>
      </c>
      <c r="E609" t="str">
        <f>TEXT(B609,"mmmm")</f>
        <v>February</v>
      </c>
      <c r="F609">
        <f>YEAR(B609)</f>
        <v>2025</v>
      </c>
      <c r="G609" t="s">
        <v>1912</v>
      </c>
      <c r="H609" t="s">
        <v>132</v>
      </c>
      <c r="I609" t="s">
        <v>95</v>
      </c>
      <c r="J609" t="s">
        <v>38</v>
      </c>
      <c r="K609" t="s">
        <v>145</v>
      </c>
      <c r="L609" t="s">
        <v>146</v>
      </c>
      <c r="M609" t="s">
        <v>28</v>
      </c>
      <c r="N609" t="s">
        <v>124</v>
      </c>
      <c r="O609" t="s">
        <v>1913</v>
      </c>
      <c r="P609" t="s">
        <v>44</v>
      </c>
      <c r="Q609">
        <v>5</v>
      </c>
      <c r="R609">
        <v>954.67</v>
      </c>
      <c r="S609">
        <v>0.15</v>
      </c>
      <c r="T609" s="12">
        <f>S609</f>
        <v>0.15</v>
      </c>
      <c r="U609">
        <v>4057.35</v>
      </c>
      <c r="V609">
        <f>Q609*R609*(1-S609)</f>
        <v>4057.3474999999994</v>
      </c>
      <c r="W609">
        <v>2862.03</v>
      </c>
      <c r="X609">
        <v>1195.32</v>
      </c>
      <c r="Y609">
        <f>V609-W609</f>
        <v>1195.3174999999992</v>
      </c>
      <c r="Z609" s="12">
        <f>Y609/V609</f>
        <v>0.29460565061286947</v>
      </c>
      <c r="AA609" t="s">
        <v>32</v>
      </c>
      <c r="AB609" t="s">
        <v>33</v>
      </c>
      <c r="AC609" s="14" t="s">
        <v>2794</v>
      </c>
      <c r="AD609" t="s">
        <v>2782</v>
      </c>
      <c r="AE609" t="str">
        <f>PROPER(TRIM(AB609))</f>
        <v>Completed</v>
      </c>
      <c r="AS609" t="str">
        <f t="shared" si="11"/>
        <v/>
      </c>
    </row>
    <row r="610" spans="1:45">
      <c r="A610" t="s">
        <v>1914</v>
      </c>
      <c r="B610" s="7">
        <v>45464</v>
      </c>
      <c r="C610" s="4">
        <v>45466</v>
      </c>
      <c r="D610">
        <f>C610-B610</f>
        <v>2</v>
      </c>
      <c r="E610" t="str">
        <f>TEXT(B610,"mmmm")</f>
        <v>June</v>
      </c>
      <c r="F610">
        <f>YEAR(B610)</f>
        <v>2024</v>
      </c>
      <c r="G610" t="s">
        <v>1692</v>
      </c>
      <c r="H610" t="s">
        <v>23</v>
      </c>
      <c r="I610" t="s">
        <v>95</v>
      </c>
      <c r="J610" t="s">
        <v>63</v>
      </c>
      <c r="K610" t="s">
        <v>190</v>
      </c>
      <c r="L610" t="s">
        <v>191</v>
      </c>
      <c r="M610" t="s">
        <v>41</v>
      </c>
      <c r="N610" t="s">
        <v>57</v>
      </c>
      <c r="O610" t="s">
        <v>1915</v>
      </c>
      <c r="P610" t="s">
        <v>31</v>
      </c>
      <c r="Q610">
        <v>9</v>
      </c>
      <c r="R610">
        <v>2153.75</v>
      </c>
      <c r="S610">
        <v>0</v>
      </c>
      <c r="T610" s="12">
        <f>S610</f>
        <v>0</v>
      </c>
      <c r="U610">
        <v>19383.75</v>
      </c>
      <c r="V610">
        <f>Q610*R610*(1-S610)</f>
        <v>19383.75</v>
      </c>
      <c r="W610">
        <v>11667.43</v>
      </c>
      <c r="X610">
        <v>7716.32</v>
      </c>
      <c r="Y610">
        <f>V610-W610</f>
        <v>7716.32</v>
      </c>
      <c r="Z610" s="12">
        <f>Y610/V610</f>
        <v>0.39808189849745274</v>
      </c>
      <c r="AA610" t="s">
        <v>32</v>
      </c>
      <c r="AB610" t="s">
        <v>33</v>
      </c>
      <c r="AC610" s="14" t="s">
        <v>2794</v>
      </c>
      <c r="AD610" t="s">
        <v>2782</v>
      </c>
      <c r="AE610" t="str">
        <f>PROPER(TRIM(AB610))</f>
        <v>Completed</v>
      </c>
      <c r="AS610" t="str">
        <f t="shared" si="11"/>
        <v/>
      </c>
    </row>
    <row r="611" spans="1:45">
      <c r="A611" t="s">
        <v>1916</v>
      </c>
      <c r="B611" s="7">
        <v>45665</v>
      </c>
      <c r="C611" s="4">
        <v>45669</v>
      </c>
      <c r="D611">
        <f>C611-B611</f>
        <v>4</v>
      </c>
      <c r="E611" t="str">
        <f>TEXT(B611,"mmmm")</f>
        <v>January</v>
      </c>
      <c r="F611">
        <f>YEAR(B611)</f>
        <v>2025</v>
      </c>
      <c r="G611" t="s">
        <v>1917</v>
      </c>
      <c r="H611" t="s">
        <v>132</v>
      </c>
      <c r="I611" t="s">
        <v>95</v>
      </c>
      <c r="J611" t="s">
        <v>54</v>
      </c>
      <c r="K611" t="s">
        <v>175</v>
      </c>
      <c r="L611" t="s">
        <v>176</v>
      </c>
      <c r="M611" t="s">
        <v>41</v>
      </c>
      <c r="N611" t="s">
        <v>66</v>
      </c>
      <c r="O611" t="s">
        <v>1918</v>
      </c>
      <c r="P611" t="s">
        <v>59</v>
      </c>
      <c r="Q611">
        <v>7</v>
      </c>
      <c r="R611">
        <v>4337.4799999999996</v>
      </c>
      <c r="S611">
        <v>0</v>
      </c>
      <c r="T611" s="12">
        <f>S611</f>
        <v>0</v>
      </c>
      <c r="U611">
        <v>30362.36</v>
      </c>
      <c r="V611">
        <f>Q611*R611*(1-S611)</f>
        <v>30362.359999999997</v>
      </c>
      <c r="W611">
        <v>25065.4</v>
      </c>
      <c r="X611">
        <v>5296.96</v>
      </c>
      <c r="Y611">
        <f>V611-W611</f>
        <v>5296.9599999999955</v>
      </c>
      <c r="Z611" s="12">
        <f>Y611/V611</f>
        <v>0.17445811195177174</v>
      </c>
      <c r="AA611" t="s">
        <v>32</v>
      </c>
      <c r="AB611" t="s">
        <v>33</v>
      </c>
      <c r="AC611" s="14" t="s">
        <v>2794</v>
      </c>
      <c r="AD611" t="s">
        <v>2782</v>
      </c>
      <c r="AE611" t="str">
        <f>PROPER(TRIM(AB611))</f>
        <v>Completed</v>
      </c>
      <c r="AS611" t="str">
        <f t="shared" si="11"/>
        <v/>
      </c>
    </row>
    <row r="612" spans="1:45">
      <c r="A612" t="s">
        <v>1919</v>
      </c>
      <c r="B612" s="7">
        <v>45432</v>
      </c>
      <c r="C612" s="4">
        <v>45432</v>
      </c>
      <c r="D612">
        <f>C612-B612</f>
        <v>0</v>
      </c>
      <c r="E612" t="str">
        <f>TEXT(B612,"mmmm")</f>
        <v>May</v>
      </c>
      <c r="F612">
        <f>YEAR(B612)</f>
        <v>2024</v>
      </c>
      <c r="G612" t="s">
        <v>1364</v>
      </c>
      <c r="H612" t="s">
        <v>23</v>
      </c>
      <c r="I612" t="s">
        <v>95</v>
      </c>
      <c r="J612" t="s">
        <v>63</v>
      </c>
      <c r="K612" t="s">
        <v>72</v>
      </c>
      <c r="L612" t="s">
        <v>73</v>
      </c>
      <c r="M612" t="s">
        <v>41</v>
      </c>
      <c r="N612" t="s">
        <v>66</v>
      </c>
      <c r="O612" t="s">
        <v>1920</v>
      </c>
      <c r="P612" t="s">
        <v>59</v>
      </c>
      <c r="Q612">
        <v>1</v>
      </c>
      <c r="R612">
        <v>3032.95</v>
      </c>
      <c r="S612">
        <v>0.1</v>
      </c>
      <c r="T612" s="12">
        <f>S612</f>
        <v>0.1</v>
      </c>
      <c r="U612">
        <v>2729.65</v>
      </c>
      <c r="V612">
        <f>Q612*R612*(1-S612)</f>
        <v>2729.6549999999997</v>
      </c>
      <c r="W612">
        <v>1715.36</v>
      </c>
      <c r="X612">
        <v>1014.29</v>
      </c>
      <c r="Y612">
        <f>V612-W612</f>
        <v>1014.2949999999998</v>
      </c>
      <c r="Z612" s="12">
        <f>Y612/V612</f>
        <v>0.37158358840219735</v>
      </c>
      <c r="AA612" t="s">
        <v>32</v>
      </c>
      <c r="AB612" t="s">
        <v>33</v>
      </c>
      <c r="AC612" s="14" t="s">
        <v>2794</v>
      </c>
      <c r="AD612" t="s">
        <v>2782</v>
      </c>
      <c r="AE612" t="str">
        <f>PROPER(TRIM(AB612))</f>
        <v>Completed</v>
      </c>
      <c r="AS612" t="str">
        <f t="shared" si="11"/>
        <v/>
      </c>
    </row>
    <row r="613" spans="1:45">
      <c r="A613" t="s">
        <v>1921</v>
      </c>
      <c r="B613" s="7">
        <v>45846</v>
      </c>
      <c r="C613" s="4">
        <v>45853</v>
      </c>
      <c r="D613">
        <f>C613-B613</f>
        <v>7</v>
      </c>
      <c r="E613" t="str">
        <f>TEXT(B613,"mmmm")</f>
        <v>July</v>
      </c>
      <c r="F613">
        <f>YEAR(B613)</f>
        <v>2025</v>
      </c>
      <c r="G613" t="s">
        <v>1922</v>
      </c>
      <c r="H613" t="s">
        <v>62</v>
      </c>
      <c r="I613" t="s">
        <v>37</v>
      </c>
      <c r="J613" t="s">
        <v>25</v>
      </c>
      <c r="K613" t="s">
        <v>26</v>
      </c>
      <c r="L613" t="s">
        <v>27</v>
      </c>
      <c r="M613" t="s">
        <v>28</v>
      </c>
      <c r="N613" t="s">
        <v>153</v>
      </c>
      <c r="O613" t="s">
        <v>1923</v>
      </c>
      <c r="P613" t="s">
        <v>44</v>
      </c>
      <c r="Q613">
        <v>8</v>
      </c>
      <c r="R613">
        <v>655.28</v>
      </c>
      <c r="S613">
        <v>0.1</v>
      </c>
      <c r="T613" s="12">
        <f>S613</f>
        <v>0.1</v>
      </c>
      <c r="U613">
        <v>4718.0200000000004</v>
      </c>
      <c r="V613">
        <f>Q613*R613*(1-S613)</f>
        <v>4718.0159999999996</v>
      </c>
      <c r="W613">
        <v>3908.23</v>
      </c>
      <c r="X613">
        <v>809.79</v>
      </c>
      <c r="Y613">
        <f>V613-W613</f>
        <v>809.7859999999996</v>
      </c>
      <c r="Z613" s="12">
        <f>Y613/V613</f>
        <v>0.17163697622051297</v>
      </c>
      <c r="AA613" t="s">
        <v>32</v>
      </c>
      <c r="AB613" t="s">
        <v>33</v>
      </c>
      <c r="AC613" s="14" t="s">
        <v>2794</v>
      </c>
      <c r="AD613" t="s">
        <v>2782</v>
      </c>
      <c r="AE613" t="str">
        <f>PROPER(TRIM(AB613))</f>
        <v>Completed</v>
      </c>
      <c r="AS613" t="str">
        <f t="shared" si="11"/>
        <v/>
      </c>
    </row>
    <row r="614" spans="1:45">
      <c r="A614" t="s">
        <v>1924</v>
      </c>
      <c r="B614" s="7">
        <v>45753</v>
      </c>
      <c r="C614" s="4">
        <v>45760</v>
      </c>
      <c r="D614">
        <f>C614-B614</f>
        <v>7</v>
      </c>
      <c r="E614" t="str">
        <f>TEXT(B614,"mmmm")</f>
        <v>April</v>
      </c>
      <c r="F614">
        <f>YEAR(B614)</f>
        <v>2025</v>
      </c>
      <c r="G614" t="s">
        <v>1925</v>
      </c>
      <c r="H614" t="s">
        <v>89</v>
      </c>
      <c r="I614" t="s">
        <v>24</v>
      </c>
      <c r="J614" t="s">
        <v>2783</v>
      </c>
      <c r="K614" t="s">
        <v>39</v>
      </c>
      <c r="L614" t="s">
        <v>40</v>
      </c>
      <c r="M614" t="s">
        <v>74</v>
      </c>
      <c r="N614" t="s">
        <v>171</v>
      </c>
      <c r="O614" t="s">
        <v>1926</v>
      </c>
      <c r="P614" t="s">
        <v>59</v>
      </c>
      <c r="Q614">
        <v>1</v>
      </c>
      <c r="R614">
        <v>3844.01</v>
      </c>
      <c r="S614">
        <v>0</v>
      </c>
      <c r="T614" s="12">
        <f>S614</f>
        <v>0</v>
      </c>
      <c r="U614">
        <v>3844.01</v>
      </c>
      <c r="V614">
        <f>Q614*R614*(1-S614)</f>
        <v>3844.01</v>
      </c>
      <c r="W614">
        <v>2195.79</v>
      </c>
      <c r="X614">
        <v>1648.22</v>
      </c>
      <c r="Y614">
        <f>V614-W614</f>
        <v>1648.2200000000003</v>
      </c>
      <c r="Z614" s="12">
        <f>Y614/V614</f>
        <v>0.42877619985379856</v>
      </c>
      <c r="AA614" t="s">
        <v>32</v>
      </c>
      <c r="AB614" t="s">
        <v>33</v>
      </c>
      <c r="AC614" s="10" t="s">
        <v>2796</v>
      </c>
      <c r="AD614" t="s">
        <v>2782</v>
      </c>
      <c r="AE614" t="str">
        <f>PROPER(TRIM(AB614))</f>
        <v>Completed</v>
      </c>
      <c r="AS614" t="str">
        <f t="shared" si="11"/>
        <v/>
      </c>
    </row>
    <row r="615" spans="1:45">
      <c r="A615" t="s">
        <v>1927</v>
      </c>
      <c r="B615" s="7">
        <v>45570</v>
      </c>
      <c r="C615" s="4">
        <v>45575</v>
      </c>
      <c r="D615">
        <f>C615-B615</f>
        <v>5</v>
      </c>
      <c r="E615" t="str">
        <f>TEXT(B615,"mmmm")</f>
        <v>October</v>
      </c>
      <c r="F615">
        <f>YEAR(B615)</f>
        <v>2024</v>
      </c>
      <c r="G615" t="s">
        <v>1928</v>
      </c>
      <c r="H615" t="s">
        <v>162</v>
      </c>
      <c r="I615" t="s">
        <v>95</v>
      </c>
      <c r="J615" t="s">
        <v>63</v>
      </c>
      <c r="K615" t="s">
        <v>180</v>
      </c>
      <c r="L615" t="s">
        <v>181</v>
      </c>
      <c r="M615" t="s">
        <v>74</v>
      </c>
      <c r="N615" t="s">
        <v>274</v>
      </c>
      <c r="O615" t="s">
        <v>1929</v>
      </c>
      <c r="P615" t="s">
        <v>44</v>
      </c>
      <c r="Q615">
        <v>9</v>
      </c>
      <c r="R615">
        <v>3361.3</v>
      </c>
      <c r="S615">
        <v>0.25</v>
      </c>
      <c r="T615" s="12">
        <f>S615</f>
        <v>0.25</v>
      </c>
      <c r="U615">
        <v>22688.78</v>
      </c>
      <c r="V615">
        <f>Q615*R615*(1-S615)</f>
        <v>22688.775000000001</v>
      </c>
      <c r="W615">
        <v>14672.41</v>
      </c>
      <c r="X615">
        <v>8016.37</v>
      </c>
      <c r="Y615">
        <f>V615-W615</f>
        <v>8016.3650000000016</v>
      </c>
      <c r="Z615" s="12">
        <f>Y615/V615</f>
        <v>0.35331854628555315</v>
      </c>
      <c r="AA615" t="s">
        <v>32</v>
      </c>
      <c r="AB615" t="s">
        <v>33</v>
      </c>
      <c r="AC615" s="14" t="s">
        <v>2794</v>
      </c>
      <c r="AD615" t="s">
        <v>2782</v>
      </c>
      <c r="AE615" t="str">
        <f>PROPER(TRIM(AB615))</f>
        <v>Completed</v>
      </c>
      <c r="AS615" t="str">
        <f t="shared" si="11"/>
        <v/>
      </c>
    </row>
    <row r="616" spans="1:45">
      <c r="A616" t="s">
        <v>1930</v>
      </c>
      <c r="B616" s="7">
        <v>45333</v>
      </c>
      <c r="C616" s="4">
        <v>45341</v>
      </c>
      <c r="D616">
        <f>C616-B616</f>
        <v>8</v>
      </c>
      <c r="E616" t="str">
        <f>TEXT(B616,"mmmm")</f>
        <v>February</v>
      </c>
      <c r="F616">
        <f>YEAR(B616)</f>
        <v>2024</v>
      </c>
      <c r="G616" t="s">
        <v>1931</v>
      </c>
      <c r="H616" t="s">
        <v>62</v>
      </c>
      <c r="I616" t="s">
        <v>95</v>
      </c>
      <c r="J616" t="s">
        <v>54</v>
      </c>
      <c r="K616" t="s">
        <v>55</v>
      </c>
      <c r="L616" t="s">
        <v>56</v>
      </c>
      <c r="M616" t="s">
        <v>41</v>
      </c>
      <c r="N616" t="s">
        <v>66</v>
      </c>
      <c r="O616" t="s">
        <v>1932</v>
      </c>
      <c r="P616" t="s">
        <v>59</v>
      </c>
      <c r="Q616">
        <v>8</v>
      </c>
      <c r="R616">
        <v>3398.32</v>
      </c>
      <c r="S616">
        <v>0.25</v>
      </c>
      <c r="T616" s="12">
        <f>S616</f>
        <v>0.25</v>
      </c>
      <c r="U616">
        <v>20389.919999999998</v>
      </c>
      <c r="V616">
        <f>Q616*R616*(1-S616)</f>
        <v>20389.920000000002</v>
      </c>
      <c r="W616">
        <v>16661.080000000002</v>
      </c>
      <c r="X616">
        <v>3728.84</v>
      </c>
      <c r="Y616">
        <f>V616-W616</f>
        <v>3728.84</v>
      </c>
      <c r="Z616" s="12">
        <f>Y616/V616</f>
        <v>0.18287663708342161</v>
      </c>
      <c r="AA616" t="s">
        <v>102</v>
      </c>
      <c r="AB616" t="s">
        <v>68</v>
      </c>
      <c r="AC616" s="14" t="s">
        <v>2794</v>
      </c>
      <c r="AD616" t="s">
        <v>2782</v>
      </c>
      <c r="AE616" t="str">
        <f>PROPER(TRIM(AB616))</f>
        <v>Cancelled</v>
      </c>
      <c r="AS616" t="str">
        <f t="shared" si="11"/>
        <v/>
      </c>
    </row>
    <row r="617" spans="1:45">
      <c r="A617" t="s">
        <v>1933</v>
      </c>
      <c r="B617" s="7">
        <v>45569</v>
      </c>
      <c r="C617" s="4">
        <v>45483</v>
      </c>
      <c r="D617" s="10">
        <f>C617-B617</f>
        <v>-86</v>
      </c>
      <c r="E617" t="str">
        <f>TEXT(B617,"mmmm")</f>
        <v>October</v>
      </c>
      <c r="F617">
        <f>YEAR(B617)</f>
        <v>2024</v>
      </c>
      <c r="G617" t="s">
        <v>1934</v>
      </c>
      <c r="H617" t="s">
        <v>118</v>
      </c>
      <c r="I617" t="s">
        <v>90</v>
      </c>
      <c r="J617" t="s">
        <v>54</v>
      </c>
      <c r="K617" t="s">
        <v>185</v>
      </c>
      <c r="L617" t="s">
        <v>186</v>
      </c>
      <c r="M617" t="s">
        <v>28</v>
      </c>
      <c r="N617" t="s">
        <v>48</v>
      </c>
      <c r="O617" t="s">
        <v>1935</v>
      </c>
      <c r="P617" t="s">
        <v>31</v>
      </c>
      <c r="Q617">
        <v>2</v>
      </c>
      <c r="R617">
        <v>3144.38</v>
      </c>
      <c r="S617">
        <v>0.1</v>
      </c>
      <c r="T617" s="12">
        <f>S617</f>
        <v>0.1</v>
      </c>
      <c r="U617">
        <v>5904.57</v>
      </c>
      <c r="V617">
        <f>Q617*R617*(1-S617)</f>
        <v>5659.884</v>
      </c>
      <c r="W617">
        <v>4337.79</v>
      </c>
      <c r="X617">
        <v>1322.09</v>
      </c>
      <c r="Y617">
        <f>V617-W617</f>
        <v>1322.0940000000001</v>
      </c>
      <c r="Z617" s="12">
        <f>Y617/V617</f>
        <v>0.23359029973052453</v>
      </c>
      <c r="AA617" t="s">
        <v>32</v>
      </c>
      <c r="AB617" t="s">
        <v>33</v>
      </c>
      <c r="AC617" s="10" t="s">
        <v>2792</v>
      </c>
      <c r="AD617" t="s">
        <v>2782</v>
      </c>
      <c r="AE617" t="str">
        <f>PROPER(TRIM(AB617))</f>
        <v>Completed</v>
      </c>
      <c r="AS617" t="str">
        <f t="shared" si="11"/>
        <v/>
      </c>
    </row>
    <row r="618" spans="1:45">
      <c r="A618" t="s">
        <v>1936</v>
      </c>
      <c r="B618" s="7">
        <v>45520</v>
      </c>
      <c r="C618" s="4">
        <v>45523</v>
      </c>
      <c r="D618">
        <f>C618-B618</f>
        <v>3</v>
      </c>
      <c r="E618" t="str">
        <f>TEXT(B618,"mmmm")</f>
        <v>August</v>
      </c>
      <c r="F618">
        <f>YEAR(B618)</f>
        <v>2024</v>
      </c>
      <c r="G618" t="s">
        <v>1937</v>
      </c>
      <c r="H618" t="s">
        <v>264</v>
      </c>
      <c r="I618" t="s">
        <v>24</v>
      </c>
      <c r="J618" t="s">
        <v>54</v>
      </c>
      <c r="K618" t="s">
        <v>55</v>
      </c>
      <c r="L618" t="s">
        <v>56</v>
      </c>
      <c r="M618" t="s">
        <v>28</v>
      </c>
      <c r="N618" t="s">
        <v>29</v>
      </c>
      <c r="O618" t="s">
        <v>1938</v>
      </c>
      <c r="P618" t="s">
        <v>59</v>
      </c>
      <c r="Q618">
        <v>6</v>
      </c>
      <c r="R618">
        <v>3925.55</v>
      </c>
      <c r="S618">
        <v>0.2</v>
      </c>
      <c r="T618" s="12">
        <f>S618</f>
        <v>0.2</v>
      </c>
      <c r="U618">
        <v>18842.64</v>
      </c>
      <c r="V618">
        <f>Q618*R618*(1-S618)</f>
        <v>18842.640000000003</v>
      </c>
      <c r="W618">
        <v>11840.58</v>
      </c>
      <c r="X618">
        <v>7002.06</v>
      </c>
      <c r="Y618">
        <f>V618-W618</f>
        <v>7002.0600000000031</v>
      </c>
      <c r="Z618" s="12">
        <f>Y618/V618</f>
        <v>0.37160716332743193</v>
      </c>
      <c r="AA618" t="s">
        <v>32</v>
      </c>
      <c r="AB618" t="s">
        <v>33</v>
      </c>
      <c r="AC618" s="14" t="s">
        <v>2794</v>
      </c>
      <c r="AD618" t="s">
        <v>2782</v>
      </c>
      <c r="AE618" t="str">
        <f>PROPER(TRIM(AB618))</f>
        <v>Completed</v>
      </c>
      <c r="AS618" t="str">
        <f t="shared" si="11"/>
        <v/>
      </c>
    </row>
    <row r="619" spans="1:45">
      <c r="A619" t="s">
        <v>1939</v>
      </c>
      <c r="B619" s="7">
        <v>45564</v>
      </c>
      <c r="C619" s="4">
        <v>45565</v>
      </c>
      <c r="D619">
        <f>C619-B619</f>
        <v>1</v>
      </c>
      <c r="E619" t="str">
        <f>TEXT(B619,"mmmm")</f>
        <v>September</v>
      </c>
      <c r="F619">
        <f>YEAR(B619)</f>
        <v>2024</v>
      </c>
      <c r="G619" t="s">
        <v>1940</v>
      </c>
      <c r="H619" t="s">
        <v>36</v>
      </c>
      <c r="I619" t="s">
        <v>95</v>
      </c>
      <c r="J619" t="s">
        <v>54</v>
      </c>
      <c r="K619" t="s">
        <v>55</v>
      </c>
      <c r="L619" t="s">
        <v>56</v>
      </c>
      <c r="M619" t="s">
        <v>74</v>
      </c>
      <c r="N619" t="s">
        <v>171</v>
      </c>
      <c r="O619" t="s">
        <v>1941</v>
      </c>
      <c r="P619" t="s">
        <v>59</v>
      </c>
      <c r="Q619">
        <v>9</v>
      </c>
      <c r="R619">
        <v>2741.91</v>
      </c>
      <c r="S619">
        <v>0</v>
      </c>
      <c r="T619" s="12">
        <f>S619</f>
        <v>0</v>
      </c>
      <c r="U619">
        <v>24677.19</v>
      </c>
      <c r="V619">
        <f>Q619*R619*(1-S619)</f>
        <v>24677.19</v>
      </c>
      <c r="W619">
        <v>20350.849999999999</v>
      </c>
      <c r="X619">
        <v>4326.34</v>
      </c>
      <c r="Y619">
        <f>V619-W619</f>
        <v>4326.34</v>
      </c>
      <c r="Z619" s="12">
        <f>Y619/V619</f>
        <v>0.17531736798233513</v>
      </c>
      <c r="AA619" t="s">
        <v>32</v>
      </c>
      <c r="AB619" t="s">
        <v>33</v>
      </c>
      <c r="AC619" s="14" t="s">
        <v>2794</v>
      </c>
      <c r="AD619" t="s">
        <v>2782</v>
      </c>
      <c r="AE619" t="str">
        <f>PROPER(TRIM(AB619))</f>
        <v>Completed</v>
      </c>
      <c r="AS619" t="str">
        <f t="shared" si="11"/>
        <v/>
      </c>
    </row>
    <row r="620" spans="1:45">
      <c r="A620" t="s">
        <v>1942</v>
      </c>
      <c r="B620" s="7">
        <v>45496</v>
      </c>
      <c r="C620" s="4">
        <v>45503</v>
      </c>
      <c r="D620">
        <f>C620-B620</f>
        <v>7</v>
      </c>
      <c r="E620" t="str">
        <f>TEXT(B620,"mmmm")</f>
        <v>July</v>
      </c>
      <c r="F620">
        <f>YEAR(B620)</f>
        <v>2024</v>
      </c>
      <c r="G620" t="s">
        <v>1943</v>
      </c>
      <c r="H620" t="s">
        <v>264</v>
      </c>
      <c r="I620" t="s">
        <v>90</v>
      </c>
      <c r="J620" t="s">
        <v>25</v>
      </c>
      <c r="K620" t="s">
        <v>26</v>
      </c>
      <c r="L620" t="s">
        <v>27</v>
      </c>
      <c r="M620" t="s">
        <v>41</v>
      </c>
      <c r="N620" t="s">
        <v>42</v>
      </c>
      <c r="O620" t="s">
        <v>1944</v>
      </c>
      <c r="P620" t="s">
        <v>44</v>
      </c>
      <c r="Q620">
        <v>9</v>
      </c>
      <c r="R620">
        <v>1870.11</v>
      </c>
      <c r="S620">
        <v>0.25</v>
      </c>
      <c r="T620" s="12">
        <f>S620</f>
        <v>0.25</v>
      </c>
      <c r="U620">
        <v>12623.24</v>
      </c>
      <c r="V620">
        <f>Q620*R620*(1-S620)</f>
        <v>12623.242499999998</v>
      </c>
      <c r="W620">
        <v>10540.8</v>
      </c>
      <c r="X620">
        <v>2082.44</v>
      </c>
      <c r="Y620">
        <f>V620-W620</f>
        <v>2082.4424999999992</v>
      </c>
      <c r="Z620" s="12">
        <f>Y620/V620</f>
        <v>0.16496890557239943</v>
      </c>
      <c r="AA620" t="s">
        <v>155</v>
      </c>
      <c r="AB620" t="s">
        <v>68</v>
      </c>
      <c r="AC620" s="14" t="s">
        <v>2794</v>
      </c>
      <c r="AD620" t="s">
        <v>2782</v>
      </c>
      <c r="AE620" t="str">
        <f>PROPER(TRIM(AB620))</f>
        <v>Cancelled</v>
      </c>
      <c r="AS620" t="str">
        <f t="shared" si="11"/>
        <v/>
      </c>
    </row>
    <row r="621" spans="1:45">
      <c r="A621" t="s">
        <v>1945</v>
      </c>
      <c r="B621" s="7">
        <v>45618</v>
      </c>
      <c r="C621" s="4">
        <v>45623</v>
      </c>
      <c r="D621">
        <f>C621-B621</f>
        <v>5</v>
      </c>
      <c r="E621" t="str">
        <f>TEXT(B621,"mmmm")</f>
        <v>November</v>
      </c>
      <c r="F621">
        <f>YEAR(B621)</f>
        <v>2024</v>
      </c>
      <c r="G621" t="s">
        <v>1946</v>
      </c>
      <c r="H621" t="s">
        <v>114</v>
      </c>
      <c r="I621" t="s">
        <v>90</v>
      </c>
      <c r="J621" t="s">
        <v>54</v>
      </c>
      <c r="K621" t="s">
        <v>247</v>
      </c>
      <c r="L621" t="s">
        <v>248</v>
      </c>
      <c r="M621" t="s">
        <v>28</v>
      </c>
      <c r="N621" t="s">
        <v>153</v>
      </c>
      <c r="O621" t="s">
        <v>1947</v>
      </c>
      <c r="P621" t="s">
        <v>50</v>
      </c>
      <c r="Q621">
        <v>1</v>
      </c>
      <c r="R621">
        <v>4251.26</v>
      </c>
      <c r="S621">
        <v>0.2</v>
      </c>
      <c r="T621" s="12">
        <f>S621</f>
        <v>0.2</v>
      </c>
      <c r="U621">
        <v>3401.01</v>
      </c>
      <c r="V621">
        <f>Q621*R621*(1-S621)</f>
        <v>3401.0080000000003</v>
      </c>
      <c r="W621">
        <v>2917.54</v>
      </c>
      <c r="X621">
        <v>483.47</v>
      </c>
      <c r="Y621">
        <f>V621-W621</f>
        <v>483.4680000000003</v>
      </c>
      <c r="Z621" s="12">
        <f>Y621/V621</f>
        <v>0.14215432601158254</v>
      </c>
      <c r="AA621" t="s">
        <v>102</v>
      </c>
      <c r="AB621" t="s">
        <v>103</v>
      </c>
      <c r="AC621" s="14" t="s">
        <v>2794</v>
      </c>
      <c r="AD621" t="s">
        <v>2782</v>
      </c>
      <c r="AE621" t="str">
        <f>PROPER(TRIM(AB621))</f>
        <v>Returned</v>
      </c>
      <c r="AS621" t="str">
        <f t="shared" si="11"/>
        <v/>
      </c>
    </row>
    <row r="622" spans="1:45">
      <c r="A622" t="s">
        <v>1948</v>
      </c>
      <c r="B622" s="7">
        <v>45522</v>
      </c>
      <c r="C622" s="4">
        <v>45525</v>
      </c>
      <c r="D622">
        <f>C622-B622</f>
        <v>3</v>
      </c>
      <c r="E622" t="str">
        <f>TEXT(B622,"mmmm")</f>
        <v>August</v>
      </c>
      <c r="F622">
        <f>YEAR(B622)</f>
        <v>2024</v>
      </c>
      <c r="G622" t="s">
        <v>1949</v>
      </c>
      <c r="H622" t="s">
        <v>71</v>
      </c>
      <c r="I622" t="s">
        <v>24</v>
      </c>
      <c r="J622" t="s">
        <v>25</v>
      </c>
      <c r="K622" t="s">
        <v>136</v>
      </c>
      <c r="L622" t="s">
        <v>137</v>
      </c>
      <c r="M622" t="s">
        <v>74</v>
      </c>
      <c r="N622" t="s">
        <v>274</v>
      </c>
      <c r="O622" t="s">
        <v>1950</v>
      </c>
      <c r="P622" t="s">
        <v>59</v>
      </c>
      <c r="Q622">
        <v>9</v>
      </c>
      <c r="R622">
        <v>734.34</v>
      </c>
      <c r="S622">
        <v>0</v>
      </c>
      <c r="T622" s="12">
        <f>S622</f>
        <v>0</v>
      </c>
      <c r="U622">
        <v>6609.06</v>
      </c>
      <c r="V622">
        <f>Q622*R622*(1-S622)</f>
        <v>6609.06</v>
      </c>
      <c r="W622">
        <v>4946.78</v>
      </c>
      <c r="X622">
        <v>1662.28</v>
      </c>
      <c r="Y622">
        <f>V622-W622</f>
        <v>1662.2800000000007</v>
      </c>
      <c r="Z622" s="12">
        <f>Y622/V622</f>
        <v>0.25151534408826681</v>
      </c>
      <c r="AA622" t="s">
        <v>32</v>
      </c>
      <c r="AB622" t="s">
        <v>33</v>
      </c>
      <c r="AC622" s="14" t="s">
        <v>2794</v>
      </c>
      <c r="AD622" t="s">
        <v>2782</v>
      </c>
      <c r="AE622" t="str">
        <f>PROPER(TRIM(AB622))</f>
        <v>Completed</v>
      </c>
      <c r="AS622" t="str">
        <f t="shared" si="11"/>
        <v/>
      </c>
    </row>
    <row r="623" spans="1:45">
      <c r="A623" t="s">
        <v>1951</v>
      </c>
      <c r="B623" s="7">
        <v>45624</v>
      </c>
      <c r="C623" s="4">
        <v>45632</v>
      </c>
      <c r="D623">
        <f>C623-B623</f>
        <v>8</v>
      </c>
      <c r="E623" t="str">
        <f>TEXT(B623,"mmmm")</f>
        <v>November</v>
      </c>
      <c r="F623">
        <f>YEAR(B623)</f>
        <v>2024</v>
      </c>
      <c r="G623" t="s">
        <v>1952</v>
      </c>
      <c r="H623" t="s">
        <v>89</v>
      </c>
      <c r="I623" t="s">
        <v>24</v>
      </c>
      <c r="J623" t="s">
        <v>63</v>
      </c>
      <c r="K623" t="s">
        <v>64</v>
      </c>
      <c r="L623" t="s">
        <v>65</v>
      </c>
      <c r="M623" t="s">
        <v>41</v>
      </c>
      <c r="N623" t="s">
        <v>66</v>
      </c>
      <c r="O623" t="s">
        <v>1953</v>
      </c>
      <c r="P623" t="s">
        <v>44</v>
      </c>
      <c r="Q623">
        <v>5</v>
      </c>
      <c r="R623">
        <v>1092.8399999999999</v>
      </c>
      <c r="S623">
        <v>0</v>
      </c>
      <c r="T623" s="12">
        <f>S623</f>
        <v>0</v>
      </c>
      <c r="U623">
        <v>5464.2</v>
      </c>
      <c r="V623">
        <f>Q623*R623*(1-S623)</f>
        <v>5464.2</v>
      </c>
      <c r="W623">
        <v>3318.09</v>
      </c>
      <c r="X623">
        <v>2146.11</v>
      </c>
      <c r="Y623">
        <f>V623-W623</f>
        <v>2146.1099999999997</v>
      </c>
      <c r="Z623" s="12">
        <f>Y623/V623</f>
        <v>0.39275831777753373</v>
      </c>
      <c r="AA623" t="s">
        <v>32</v>
      </c>
      <c r="AB623" t="s">
        <v>33</v>
      </c>
      <c r="AC623" s="14" t="s">
        <v>2794</v>
      </c>
      <c r="AD623" t="s">
        <v>2782</v>
      </c>
      <c r="AE623" t="str">
        <f>PROPER(TRIM(AB623))</f>
        <v>Completed</v>
      </c>
      <c r="AS623" t="str">
        <f t="shared" si="11"/>
        <v/>
      </c>
    </row>
    <row r="624" spans="1:45">
      <c r="A624" t="s">
        <v>1954</v>
      </c>
      <c r="B624" s="7">
        <v>45686</v>
      </c>
      <c r="C624" s="4">
        <v>45694</v>
      </c>
      <c r="D624">
        <f>C624-B624</f>
        <v>8</v>
      </c>
      <c r="E624" t="str">
        <f>TEXT(B624,"mmmm")</f>
        <v>January</v>
      </c>
      <c r="F624">
        <f>YEAR(B624)</f>
        <v>2025</v>
      </c>
      <c r="G624" t="s">
        <v>1955</v>
      </c>
      <c r="H624" t="s">
        <v>71</v>
      </c>
      <c r="I624" t="s">
        <v>24</v>
      </c>
      <c r="J624" t="s">
        <v>38</v>
      </c>
      <c r="K624" t="s">
        <v>145</v>
      </c>
      <c r="L624" t="s">
        <v>146</v>
      </c>
      <c r="M624" t="s">
        <v>28</v>
      </c>
      <c r="N624" t="s">
        <v>124</v>
      </c>
      <c r="O624" t="s">
        <v>1956</v>
      </c>
      <c r="P624" t="s">
        <v>59</v>
      </c>
      <c r="Q624">
        <v>4</v>
      </c>
      <c r="R624">
        <v>2759.01</v>
      </c>
      <c r="S624">
        <v>0.05</v>
      </c>
      <c r="T624" s="12">
        <f>S624</f>
        <v>0.05</v>
      </c>
      <c r="U624">
        <v>10484.24</v>
      </c>
      <c r="V624">
        <f>Q624*R624*(1-S624)</f>
        <v>10484.238000000001</v>
      </c>
      <c r="W624">
        <v>6680.15</v>
      </c>
      <c r="X624">
        <v>3804.09</v>
      </c>
      <c r="Y624">
        <f>V624-W624</f>
        <v>3804.0880000000016</v>
      </c>
      <c r="Z624" s="12">
        <f>Y624/V624</f>
        <v>0.36283876806306775</v>
      </c>
      <c r="AA624" t="s">
        <v>32</v>
      </c>
      <c r="AB624" t="s">
        <v>33</v>
      </c>
      <c r="AC624" s="14" t="s">
        <v>2794</v>
      </c>
      <c r="AD624" t="s">
        <v>2782</v>
      </c>
      <c r="AE624" t="str">
        <f>PROPER(TRIM(AB624))</f>
        <v>Completed</v>
      </c>
      <c r="AS624" t="str">
        <f t="shared" si="11"/>
        <v/>
      </c>
    </row>
    <row r="625" spans="1:45">
      <c r="A625" t="s">
        <v>1957</v>
      </c>
      <c r="B625" s="7">
        <v>45512</v>
      </c>
      <c r="C625" s="4">
        <v>45518</v>
      </c>
      <c r="D625">
        <f>C625-B625</f>
        <v>6</v>
      </c>
      <c r="E625" t="str">
        <f>TEXT(B625,"mmmm")</f>
        <v>August</v>
      </c>
      <c r="F625">
        <f>YEAR(B625)</f>
        <v>2024</v>
      </c>
      <c r="G625" t="s">
        <v>1958</v>
      </c>
      <c r="H625" t="s">
        <v>71</v>
      </c>
      <c r="I625" t="s">
        <v>95</v>
      </c>
      <c r="J625" t="s">
        <v>25</v>
      </c>
      <c r="K625" t="s">
        <v>122</v>
      </c>
      <c r="L625" t="s">
        <v>123</v>
      </c>
      <c r="M625" t="s">
        <v>28</v>
      </c>
      <c r="N625" t="s">
        <v>124</v>
      </c>
      <c r="O625" t="s">
        <v>1959</v>
      </c>
      <c r="P625" t="s">
        <v>31</v>
      </c>
      <c r="Q625">
        <v>8</v>
      </c>
      <c r="R625">
        <v>1359.19</v>
      </c>
      <c r="S625">
        <v>0.05</v>
      </c>
      <c r="T625" s="12">
        <f>S625</f>
        <v>0.05</v>
      </c>
      <c r="U625">
        <v>10329.84</v>
      </c>
      <c r="V625">
        <f>Q625*R625*(1-S625)</f>
        <v>10329.843999999999</v>
      </c>
      <c r="W625">
        <v>7512.22</v>
      </c>
      <c r="X625">
        <v>2817.62</v>
      </c>
      <c r="Y625">
        <f>V625-W625</f>
        <v>2817.6239999999989</v>
      </c>
      <c r="Z625" s="12">
        <f>Y625/V625</f>
        <v>0.27276539703794161</v>
      </c>
      <c r="AA625" t="s">
        <v>32</v>
      </c>
      <c r="AB625" t="s">
        <v>33</v>
      </c>
      <c r="AC625" s="14" t="s">
        <v>2794</v>
      </c>
      <c r="AD625" t="s">
        <v>2782</v>
      </c>
      <c r="AE625" t="str">
        <f>PROPER(TRIM(AB625))</f>
        <v>Completed</v>
      </c>
      <c r="AS625" t="str">
        <f t="shared" si="11"/>
        <v/>
      </c>
    </row>
    <row r="626" spans="1:45">
      <c r="A626" t="s">
        <v>1960</v>
      </c>
      <c r="B626" s="7">
        <v>45321</v>
      </c>
      <c r="C626" s="4">
        <v>45323</v>
      </c>
      <c r="D626">
        <f>C626-B626</f>
        <v>2</v>
      </c>
      <c r="E626" t="str">
        <f>TEXT(B626,"mmmm")</f>
        <v>January</v>
      </c>
      <c r="F626">
        <f>YEAR(B626)</f>
        <v>2024</v>
      </c>
      <c r="G626" t="s">
        <v>1961</v>
      </c>
      <c r="H626" t="s">
        <v>79</v>
      </c>
      <c r="I626" t="s">
        <v>95</v>
      </c>
      <c r="J626" t="s">
        <v>38</v>
      </c>
      <c r="K626" t="s">
        <v>166</v>
      </c>
      <c r="L626" t="s">
        <v>167</v>
      </c>
      <c r="M626" t="s">
        <v>41</v>
      </c>
      <c r="N626" t="s">
        <v>66</v>
      </c>
      <c r="O626" t="s">
        <v>1962</v>
      </c>
      <c r="P626" t="s">
        <v>50</v>
      </c>
      <c r="Q626">
        <v>2</v>
      </c>
      <c r="R626">
        <v>4451.03</v>
      </c>
      <c r="S626">
        <v>0.05</v>
      </c>
      <c r="T626" s="12">
        <f>S626</f>
        <v>0.05</v>
      </c>
      <c r="U626">
        <v>8456.9599999999991</v>
      </c>
      <c r="V626">
        <f>Q626*R626*(1-S626)</f>
        <v>8456.9569999999985</v>
      </c>
      <c r="W626">
        <v>5462.85</v>
      </c>
      <c r="X626">
        <v>2994.11</v>
      </c>
      <c r="Y626">
        <f>V626-W626</f>
        <v>2994.1069999999982</v>
      </c>
      <c r="Z626" s="12">
        <f>Y626/V626</f>
        <v>0.35404070282017502</v>
      </c>
      <c r="AA626" t="s">
        <v>32</v>
      </c>
      <c r="AB626" t="s">
        <v>33</v>
      </c>
      <c r="AC626" s="14" t="s">
        <v>2794</v>
      </c>
      <c r="AD626" t="s">
        <v>2782</v>
      </c>
      <c r="AE626" t="str">
        <f>PROPER(TRIM(AB626))</f>
        <v>Completed</v>
      </c>
      <c r="AS626" t="str">
        <f t="shared" si="11"/>
        <v/>
      </c>
    </row>
    <row r="627" spans="1:45">
      <c r="A627" t="s">
        <v>1963</v>
      </c>
      <c r="B627" s="7">
        <v>45641</v>
      </c>
      <c r="C627" s="4">
        <v>45647</v>
      </c>
      <c r="D627">
        <f>C627-B627</f>
        <v>6</v>
      </c>
      <c r="E627" t="str">
        <f>TEXT(B627,"mmmm")</f>
        <v>December</v>
      </c>
      <c r="F627">
        <f>YEAR(B627)</f>
        <v>2024</v>
      </c>
      <c r="G627" t="s">
        <v>1964</v>
      </c>
      <c r="H627" t="s">
        <v>162</v>
      </c>
      <c r="I627" t="s">
        <v>90</v>
      </c>
      <c r="J627" t="s">
        <v>63</v>
      </c>
      <c r="K627" t="s">
        <v>26</v>
      </c>
      <c r="L627" t="s">
        <v>109</v>
      </c>
      <c r="M627" t="s">
        <v>41</v>
      </c>
      <c r="N627" t="s">
        <v>66</v>
      </c>
      <c r="O627" t="s">
        <v>1965</v>
      </c>
      <c r="P627" t="s">
        <v>44</v>
      </c>
      <c r="Q627">
        <v>3</v>
      </c>
      <c r="R627">
        <v>527.66999999999996</v>
      </c>
      <c r="S627">
        <v>0.2</v>
      </c>
      <c r="T627" s="12">
        <f>S627</f>
        <v>0.2</v>
      </c>
      <c r="U627">
        <v>1266.4100000000001</v>
      </c>
      <c r="V627">
        <f>Q627*R627*(1-S627)</f>
        <v>1266.4079999999999</v>
      </c>
      <c r="W627">
        <v>983.92</v>
      </c>
      <c r="X627">
        <v>282.49</v>
      </c>
      <c r="Y627">
        <f>V627-W627</f>
        <v>282.48799999999994</v>
      </c>
      <c r="Z627" s="12">
        <f>Y627/V627</f>
        <v>0.22306239379410109</v>
      </c>
      <c r="AA627" t="s">
        <v>32</v>
      </c>
      <c r="AB627" t="s">
        <v>33</v>
      </c>
      <c r="AC627" s="14" t="s">
        <v>2794</v>
      </c>
      <c r="AD627" t="s">
        <v>2782</v>
      </c>
      <c r="AE627" t="str">
        <f>PROPER(TRIM(AB627))</f>
        <v>Completed</v>
      </c>
      <c r="AS627" t="str">
        <f t="shared" si="11"/>
        <v/>
      </c>
    </row>
    <row r="628" spans="1:45">
      <c r="A628" t="s">
        <v>1966</v>
      </c>
      <c r="B628" s="7">
        <v>45812</v>
      </c>
      <c r="C628" s="4">
        <v>45844</v>
      </c>
      <c r="D628">
        <f>C628-B628</f>
        <v>32</v>
      </c>
      <c r="E628" t="str">
        <f>TEXT(B628,"mmmm")</f>
        <v>June</v>
      </c>
      <c r="F628">
        <f>YEAR(B628)</f>
        <v>2025</v>
      </c>
      <c r="G628" t="s">
        <v>1967</v>
      </c>
      <c r="H628" t="s">
        <v>132</v>
      </c>
      <c r="I628" t="s">
        <v>95</v>
      </c>
      <c r="J628" t="s">
        <v>38</v>
      </c>
      <c r="K628" t="s">
        <v>166</v>
      </c>
      <c r="L628" t="s">
        <v>167</v>
      </c>
      <c r="M628" t="s">
        <v>74</v>
      </c>
      <c r="N628" t="s">
        <v>274</v>
      </c>
      <c r="O628" t="s">
        <v>1968</v>
      </c>
      <c r="P628" t="s">
        <v>59</v>
      </c>
      <c r="Q628">
        <v>8</v>
      </c>
      <c r="R628">
        <v>1434.13</v>
      </c>
      <c r="S628">
        <v>0</v>
      </c>
      <c r="T628" s="12">
        <f>S628</f>
        <v>0</v>
      </c>
      <c r="U628">
        <v>11473.04</v>
      </c>
      <c r="V628">
        <f>Q628*R628*(1-S628)</f>
        <v>11473.04</v>
      </c>
      <c r="W628">
        <v>8931.33</v>
      </c>
      <c r="X628">
        <v>2541.71</v>
      </c>
      <c r="Y628">
        <f>V628-W628</f>
        <v>2541.7100000000009</v>
      </c>
      <c r="Z628" s="12">
        <f>Y628/V628</f>
        <v>0.22153762211236086</v>
      </c>
      <c r="AA628" t="s">
        <v>111</v>
      </c>
      <c r="AB628" t="s">
        <v>103</v>
      </c>
      <c r="AC628" s="14" t="s">
        <v>2794</v>
      </c>
      <c r="AD628" t="s">
        <v>2782</v>
      </c>
      <c r="AE628" t="str">
        <f>PROPER(TRIM(AB628))</f>
        <v>Returned</v>
      </c>
      <c r="AS628" t="str">
        <f t="shared" si="11"/>
        <v/>
      </c>
    </row>
    <row r="629" spans="1:45">
      <c r="A629" t="s">
        <v>1969</v>
      </c>
      <c r="B629" s="7">
        <v>45701</v>
      </c>
      <c r="C629" s="4">
        <v>45709</v>
      </c>
      <c r="D629">
        <f>C629-B629</f>
        <v>8</v>
      </c>
      <c r="E629" t="str">
        <f>TEXT(B629,"mmmm")</f>
        <v>February</v>
      </c>
      <c r="F629">
        <f>YEAR(B629)</f>
        <v>2025</v>
      </c>
      <c r="G629" t="s">
        <v>1970</v>
      </c>
      <c r="H629" t="s">
        <v>23</v>
      </c>
      <c r="I629" t="s">
        <v>37</v>
      </c>
      <c r="J629" t="s">
        <v>54</v>
      </c>
      <c r="K629" t="s">
        <v>185</v>
      </c>
      <c r="L629" t="s">
        <v>186</v>
      </c>
      <c r="M629" t="s">
        <v>74</v>
      </c>
      <c r="N629" t="s">
        <v>171</v>
      </c>
      <c r="O629" t="s">
        <v>1971</v>
      </c>
      <c r="P629" t="s">
        <v>31</v>
      </c>
      <c r="Q629">
        <v>2</v>
      </c>
      <c r="R629">
        <v>2360.02</v>
      </c>
      <c r="S629">
        <v>0.15</v>
      </c>
      <c r="T629" s="12">
        <f>S629</f>
        <v>0.15</v>
      </c>
      <c r="U629">
        <v>4012.03</v>
      </c>
      <c r="V629">
        <f>Q629*R629*(1-S629)</f>
        <v>4012.0339999999997</v>
      </c>
      <c r="W629">
        <v>3142.92</v>
      </c>
      <c r="X629">
        <v>869.11</v>
      </c>
      <c r="Y629">
        <f>V629-W629</f>
        <v>869.11399999999958</v>
      </c>
      <c r="Z629" s="12">
        <f>Y629/V629</f>
        <v>0.21662677833737193</v>
      </c>
      <c r="AA629" t="s">
        <v>111</v>
      </c>
      <c r="AB629" t="s">
        <v>68</v>
      </c>
      <c r="AC629" s="14" t="s">
        <v>2794</v>
      </c>
      <c r="AD629" t="s">
        <v>2782</v>
      </c>
      <c r="AE629" t="str">
        <f>PROPER(TRIM(AB629))</f>
        <v>Cancelled</v>
      </c>
      <c r="AS629" t="str">
        <f t="shared" si="11"/>
        <v/>
      </c>
    </row>
    <row r="630" spans="1:45">
      <c r="A630" t="s">
        <v>1972</v>
      </c>
      <c r="B630" s="7">
        <v>45935</v>
      </c>
      <c r="C630" s="4">
        <v>45942</v>
      </c>
      <c r="D630">
        <f>C630-B630</f>
        <v>7</v>
      </c>
      <c r="E630" t="str">
        <f>TEXT(B630,"mmmm")</f>
        <v>October</v>
      </c>
      <c r="F630">
        <f>YEAR(B630)</f>
        <v>2025</v>
      </c>
      <c r="G630" t="s">
        <v>1973</v>
      </c>
      <c r="H630" t="s">
        <v>62</v>
      </c>
      <c r="I630" t="s">
        <v>95</v>
      </c>
      <c r="J630" t="s">
        <v>38</v>
      </c>
      <c r="K630" t="s">
        <v>228</v>
      </c>
      <c r="L630" t="s">
        <v>229</v>
      </c>
      <c r="M630" t="s">
        <v>74</v>
      </c>
      <c r="N630" t="s">
        <v>75</v>
      </c>
      <c r="O630" t="s">
        <v>1974</v>
      </c>
      <c r="P630" t="s">
        <v>44</v>
      </c>
      <c r="Q630">
        <v>7</v>
      </c>
      <c r="R630">
        <v>806.67</v>
      </c>
      <c r="S630">
        <v>0.05</v>
      </c>
      <c r="T630" s="12">
        <f>S630</f>
        <v>0.05</v>
      </c>
      <c r="U630">
        <v>5364.36</v>
      </c>
      <c r="V630">
        <f>Q630*R630*(1-S630)</f>
        <v>5364.3554999999997</v>
      </c>
      <c r="W630">
        <v>4391.29</v>
      </c>
      <c r="X630">
        <v>973.07</v>
      </c>
      <c r="Y630">
        <f>V630-W630</f>
        <v>973.0654999999997</v>
      </c>
      <c r="Z630" s="12">
        <f>Y630/V630</f>
        <v>0.18139467080434915</v>
      </c>
      <c r="AA630" t="s">
        <v>32</v>
      </c>
      <c r="AB630" t="s">
        <v>33</v>
      </c>
      <c r="AC630" s="14" t="s">
        <v>2794</v>
      </c>
      <c r="AD630" t="s">
        <v>2782</v>
      </c>
      <c r="AE630" t="str">
        <f>PROPER(TRIM(AB630))</f>
        <v>Completed</v>
      </c>
      <c r="AS630" t="str">
        <f t="shared" si="11"/>
        <v/>
      </c>
    </row>
    <row r="631" spans="1:45">
      <c r="A631" t="s">
        <v>1975</v>
      </c>
      <c r="B631" s="7">
        <v>45939</v>
      </c>
      <c r="C631" s="4">
        <v>45914</v>
      </c>
      <c r="D631" s="10">
        <f>C631-B631</f>
        <v>-25</v>
      </c>
      <c r="E631" t="str">
        <f>TEXT(B631,"mmmm")</f>
        <v>October</v>
      </c>
      <c r="F631">
        <f>YEAR(B631)</f>
        <v>2025</v>
      </c>
      <c r="G631" t="s">
        <v>1976</v>
      </c>
      <c r="H631" t="s">
        <v>53</v>
      </c>
      <c r="I631" t="s">
        <v>95</v>
      </c>
      <c r="J631" t="s">
        <v>63</v>
      </c>
      <c r="K631" t="s">
        <v>180</v>
      </c>
      <c r="L631" t="s">
        <v>181</v>
      </c>
      <c r="M631" t="s">
        <v>41</v>
      </c>
      <c r="N631" t="s">
        <v>42</v>
      </c>
      <c r="O631" t="s">
        <v>1977</v>
      </c>
      <c r="P631" t="s">
        <v>44</v>
      </c>
      <c r="Q631">
        <v>3</v>
      </c>
      <c r="R631">
        <v>4198.46</v>
      </c>
      <c r="S631">
        <v>0.15</v>
      </c>
      <c r="T631" s="12">
        <f>S631</f>
        <v>0.15</v>
      </c>
      <c r="U631">
        <v>10706.07</v>
      </c>
      <c r="V631">
        <f>Q631*R631*(1-S631)</f>
        <v>10706.073</v>
      </c>
      <c r="W631">
        <v>5927.1</v>
      </c>
      <c r="X631">
        <v>4778.97</v>
      </c>
      <c r="Y631">
        <f>V631-W631</f>
        <v>4778.973</v>
      </c>
      <c r="Z631" s="12">
        <f>Y631/V631</f>
        <v>0.44637963892082555</v>
      </c>
      <c r="AA631" t="s">
        <v>32</v>
      </c>
      <c r="AB631" t="s">
        <v>33</v>
      </c>
      <c r="AC631" s="10" t="s">
        <v>2792</v>
      </c>
      <c r="AD631" t="s">
        <v>2782</v>
      </c>
      <c r="AE631" t="str">
        <f>PROPER(TRIM(AB631))</f>
        <v>Completed</v>
      </c>
      <c r="AS631" t="str">
        <f t="shared" si="11"/>
        <v/>
      </c>
    </row>
    <row r="632" spans="1:45">
      <c r="A632" t="s">
        <v>1978</v>
      </c>
      <c r="B632" s="7">
        <v>45391</v>
      </c>
      <c r="C632" s="4">
        <v>45392</v>
      </c>
      <c r="D632">
        <f>C632-B632</f>
        <v>1</v>
      </c>
      <c r="E632" t="str">
        <f>TEXT(B632,"mmmm")</f>
        <v>April</v>
      </c>
      <c r="F632">
        <f>YEAR(B632)</f>
        <v>2024</v>
      </c>
      <c r="G632" t="s">
        <v>1979</v>
      </c>
      <c r="H632" t="s">
        <v>114</v>
      </c>
      <c r="I632" t="s">
        <v>90</v>
      </c>
      <c r="J632" t="s">
        <v>38</v>
      </c>
      <c r="K632" t="s">
        <v>166</v>
      </c>
      <c r="L632" t="s">
        <v>167</v>
      </c>
      <c r="M632" t="s">
        <v>28</v>
      </c>
      <c r="N632" t="s">
        <v>29</v>
      </c>
      <c r="O632" t="s">
        <v>1980</v>
      </c>
      <c r="P632" t="s">
        <v>59</v>
      </c>
      <c r="Q632">
        <v>4</v>
      </c>
      <c r="R632">
        <v>3047.05</v>
      </c>
      <c r="S632">
        <v>0.1</v>
      </c>
      <c r="T632" s="12">
        <f>S632</f>
        <v>0.1</v>
      </c>
      <c r="U632">
        <v>10969.38</v>
      </c>
      <c r="V632">
        <f>Q632*R632*(1-S632)</f>
        <v>10969.380000000001</v>
      </c>
      <c r="W632">
        <v>9254.4599999999991</v>
      </c>
      <c r="X632">
        <v>1714.92</v>
      </c>
      <c r="Y632">
        <f>V632-W632</f>
        <v>1714.9200000000019</v>
      </c>
      <c r="Z632" s="12">
        <f>Y632/V632</f>
        <v>0.15633700354988173</v>
      </c>
      <c r="AA632" t="s">
        <v>32</v>
      </c>
      <c r="AB632" t="s">
        <v>33</v>
      </c>
      <c r="AC632" s="14" t="s">
        <v>2794</v>
      </c>
      <c r="AD632" t="s">
        <v>2782</v>
      </c>
      <c r="AE632" t="str">
        <f>PROPER(TRIM(AB632))</f>
        <v>Completed</v>
      </c>
      <c r="AS632" t="str">
        <f t="shared" si="11"/>
        <v/>
      </c>
    </row>
    <row r="633" spans="1:45">
      <c r="A633" t="s">
        <v>1981</v>
      </c>
      <c r="B633" s="7">
        <v>45392</v>
      </c>
      <c r="C633" s="4">
        <v>45397</v>
      </c>
      <c r="D633">
        <f>C633-B633</f>
        <v>5</v>
      </c>
      <c r="E633" t="str">
        <f>TEXT(B633,"mmmm")</f>
        <v>April</v>
      </c>
      <c r="F633">
        <f>YEAR(B633)</f>
        <v>2024</v>
      </c>
      <c r="G633" t="s">
        <v>1982</v>
      </c>
      <c r="H633" t="s">
        <v>128</v>
      </c>
      <c r="I633" t="s">
        <v>95</v>
      </c>
      <c r="J633" t="s">
        <v>63</v>
      </c>
      <c r="K633" t="s">
        <v>26</v>
      </c>
      <c r="L633" t="s">
        <v>109</v>
      </c>
      <c r="M633" t="s">
        <v>41</v>
      </c>
      <c r="N633" t="s">
        <v>66</v>
      </c>
      <c r="O633" t="s">
        <v>1983</v>
      </c>
      <c r="P633" t="s">
        <v>59</v>
      </c>
      <c r="Q633">
        <v>8</v>
      </c>
      <c r="R633">
        <v>4362.4799999999996</v>
      </c>
      <c r="S633">
        <v>0.1</v>
      </c>
      <c r="T633" s="12">
        <f>S633</f>
        <v>0.1</v>
      </c>
      <c r="U633">
        <v>31409.86</v>
      </c>
      <c r="V633">
        <f>Q633*R633*(1-S633)</f>
        <v>31409.855999999996</v>
      </c>
      <c r="W633">
        <v>22523.54</v>
      </c>
      <c r="X633">
        <v>8886.32</v>
      </c>
      <c r="Y633">
        <f>V633-W633</f>
        <v>8886.3159999999953</v>
      </c>
      <c r="Z633" s="12">
        <f>Y633/V633</f>
        <v>0.2829148914277097</v>
      </c>
      <c r="AA633" t="s">
        <v>32</v>
      </c>
      <c r="AB633" t="s">
        <v>33</v>
      </c>
      <c r="AC633" s="14" t="s">
        <v>2794</v>
      </c>
      <c r="AD633" t="s">
        <v>2782</v>
      </c>
      <c r="AE633" t="str">
        <f>PROPER(TRIM(AB633))</f>
        <v>Completed</v>
      </c>
      <c r="AS633" t="str">
        <f t="shared" si="11"/>
        <v/>
      </c>
    </row>
    <row r="634" spans="1:45">
      <c r="A634" t="s">
        <v>1984</v>
      </c>
      <c r="B634" s="7">
        <v>45762</v>
      </c>
      <c r="C634" s="4">
        <v>45763</v>
      </c>
      <c r="D634">
        <f>C634-B634</f>
        <v>1</v>
      </c>
      <c r="E634" t="str">
        <f>TEXT(B634,"mmmm")</f>
        <v>April</v>
      </c>
      <c r="F634">
        <f>YEAR(B634)</f>
        <v>2025</v>
      </c>
      <c r="G634" t="s">
        <v>1985</v>
      </c>
      <c r="H634" t="s">
        <v>132</v>
      </c>
      <c r="I634" t="s">
        <v>37</v>
      </c>
      <c r="J634" t="s">
        <v>54</v>
      </c>
      <c r="K634" t="s">
        <v>175</v>
      </c>
      <c r="L634" t="s">
        <v>176</v>
      </c>
      <c r="M634" t="s">
        <v>41</v>
      </c>
      <c r="N634" t="s">
        <v>57</v>
      </c>
      <c r="O634" t="s">
        <v>1986</v>
      </c>
      <c r="P634" t="s">
        <v>50</v>
      </c>
      <c r="Q634">
        <v>5</v>
      </c>
      <c r="R634">
        <v>2850.53</v>
      </c>
      <c r="S634">
        <v>0</v>
      </c>
      <c r="T634" s="12">
        <f>S634</f>
        <v>0</v>
      </c>
      <c r="U634">
        <v>14252.65</v>
      </c>
      <c r="V634">
        <f>Q634*R634*(1-S634)</f>
        <v>14252.650000000001</v>
      </c>
      <c r="W634">
        <v>11558.31</v>
      </c>
      <c r="X634">
        <v>2694.34</v>
      </c>
      <c r="Y634">
        <f>V634-W634</f>
        <v>2694.340000000002</v>
      </c>
      <c r="Z634" s="12">
        <f>Y634/V634</f>
        <v>0.18904133617257154</v>
      </c>
      <c r="AA634" t="s">
        <v>32</v>
      </c>
      <c r="AB634" t="s">
        <v>33</v>
      </c>
      <c r="AC634" s="14" t="s">
        <v>2794</v>
      </c>
      <c r="AD634" t="s">
        <v>2782</v>
      </c>
      <c r="AE634" t="str">
        <f>PROPER(TRIM(AB634))</f>
        <v>Completed</v>
      </c>
      <c r="AS634" t="str">
        <f t="shared" si="11"/>
        <v/>
      </c>
    </row>
    <row r="635" spans="1:45">
      <c r="A635" t="s">
        <v>1987</v>
      </c>
      <c r="B635" s="7">
        <v>45765</v>
      </c>
      <c r="C635" s="4">
        <v>45767</v>
      </c>
      <c r="D635">
        <f>C635-B635</f>
        <v>2</v>
      </c>
      <c r="E635" t="str">
        <f>TEXT(B635,"mmmm")</f>
        <v>April</v>
      </c>
      <c r="F635">
        <f>YEAR(B635)</f>
        <v>2025</v>
      </c>
      <c r="G635" t="s">
        <v>1988</v>
      </c>
      <c r="H635" t="s">
        <v>128</v>
      </c>
      <c r="I635" t="s">
        <v>37</v>
      </c>
      <c r="J635" t="s">
        <v>54</v>
      </c>
      <c r="K635" t="s">
        <v>247</v>
      </c>
      <c r="L635" t="s">
        <v>248</v>
      </c>
      <c r="M635" t="s">
        <v>74</v>
      </c>
      <c r="N635" t="s">
        <v>75</v>
      </c>
      <c r="O635" t="s">
        <v>1989</v>
      </c>
      <c r="P635" t="s">
        <v>31</v>
      </c>
      <c r="Q635">
        <v>1</v>
      </c>
      <c r="R635">
        <v>1626.08</v>
      </c>
      <c r="S635">
        <v>0.15</v>
      </c>
      <c r="T635" s="12">
        <f>S635</f>
        <v>0.15</v>
      </c>
      <c r="U635">
        <v>1382.17</v>
      </c>
      <c r="V635">
        <f>Q635*R635*(1-S635)</f>
        <v>1382.1679999999999</v>
      </c>
      <c r="W635">
        <v>810.03</v>
      </c>
      <c r="X635">
        <v>572.14</v>
      </c>
      <c r="Y635">
        <f>V635-W635</f>
        <v>572.13799999999992</v>
      </c>
      <c r="Z635" s="12">
        <f>Y635/V635</f>
        <v>0.4139424440444287</v>
      </c>
      <c r="AA635" t="s">
        <v>32</v>
      </c>
      <c r="AB635" t="s">
        <v>33</v>
      </c>
      <c r="AC635" s="14" t="s">
        <v>2794</v>
      </c>
      <c r="AD635" t="s">
        <v>2782</v>
      </c>
      <c r="AE635" t="str">
        <f>PROPER(TRIM(AB635))</f>
        <v>Completed</v>
      </c>
      <c r="AS635" t="str">
        <f t="shared" si="11"/>
        <v/>
      </c>
    </row>
    <row r="636" spans="1:45">
      <c r="A636" t="s">
        <v>1990</v>
      </c>
      <c r="B636" s="7">
        <v>45962</v>
      </c>
      <c r="C636" s="4">
        <v>45669</v>
      </c>
      <c r="D636" s="10">
        <f>C636-B636</f>
        <v>-293</v>
      </c>
      <c r="E636" t="str">
        <f>TEXT(B636,"mmmm")</f>
        <v>November</v>
      </c>
      <c r="F636">
        <f>YEAR(B636)</f>
        <v>2025</v>
      </c>
      <c r="G636" t="s">
        <v>1991</v>
      </c>
      <c r="H636" t="s">
        <v>89</v>
      </c>
      <c r="I636" t="s">
        <v>24</v>
      </c>
      <c r="J636" t="s">
        <v>54</v>
      </c>
      <c r="K636" t="s">
        <v>55</v>
      </c>
      <c r="L636" t="s">
        <v>56</v>
      </c>
      <c r="M636" t="s">
        <v>41</v>
      </c>
      <c r="N636" t="s">
        <v>66</v>
      </c>
      <c r="O636" t="s">
        <v>1992</v>
      </c>
      <c r="P636" t="s">
        <v>31</v>
      </c>
      <c r="Q636">
        <v>4</v>
      </c>
      <c r="R636">
        <v>2427.15</v>
      </c>
      <c r="S636">
        <v>0.05</v>
      </c>
      <c r="T636" s="12">
        <f>S636</f>
        <v>0.05</v>
      </c>
      <c r="U636">
        <v>9223.17</v>
      </c>
      <c r="V636">
        <f>Q636*R636*(1-S636)</f>
        <v>9223.17</v>
      </c>
      <c r="W636">
        <v>5103.7</v>
      </c>
      <c r="X636">
        <v>4119.47</v>
      </c>
      <c r="Y636">
        <f>V636-W636</f>
        <v>4119.47</v>
      </c>
      <c r="Z636" s="12">
        <f>Y636/V636</f>
        <v>0.44664361602355807</v>
      </c>
      <c r="AA636" t="s">
        <v>32</v>
      </c>
      <c r="AB636" t="s">
        <v>33</v>
      </c>
      <c r="AC636" s="10" t="s">
        <v>2792</v>
      </c>
      <c r="AD636" t="s">
        <v>2782</v>
      </c>
      <c r="AE636" t="str">
        <f>PROPER(TRIM(AB636))</f>
        <v>Completed</v>
      </c>
      <c r="AS636" t="str">
        <f t="shared" si="11"/>
        <v/>
      </c>
    </row>
    <row r="637" spans="1:45">
      <c r="A637" t="s">
        <v>1993</v>
      </c>
      <c r="B637" s="7">
        <v>45432</v>
      </c>
      <c r="C637" s="4">
        <v>45437</v>
      </c>
      <c r="D637">
        <f>C637-B637</f>
        <v>5</v>
      </c>
      <c r="E637" t="str">
        <f>TEXT(B637,"mmmm")</f>
        <v>May</v>
      </c>
      <c r="F637">
        <f>YEAR(B637)</f>
        <v>2024</v>
      </c>
      <c r="G637" t="s">
        <v>1994</v>
      </c>
      <c r="H637" t="s">
        <v>36</v>
      </c>
      <c r="I637" t="s">
        <v>90</v>
      </c>
      <c r="J637" t="s">
        <v>54</v>
      </c>
      <c r="K637" t="s">
        <v>84</v>
      </c>
      <c r="L637" t="s">
        <v>85</v>
      </c>
      <c r="M637" t="s">
        <v>41</v>
      </c>
      <c r="N637" t="s">
        <v>66</v>
      </c>
      <c r="O637" t="s">
        <v>1995</v>
      </c>
      <c r="P637" t="s">
        <v>44</v>
      </c>
      <c r="Q637">
        <v>7</v>
      </c>
      <c r="R637">
        <v>3122.85</v>
      </c>
      <c r="S637">
        <v>0.25</v>
      </c>
      <c r="T637" s="12">
        <f>S637</f>
        <v>0.25</v>
      </c>
      <c r="U637">
        <v>16394.96</v>
      </c>
      <c r="V637">
        <f>Q637*R637*(1-S637)</f>
        <v>16394.962500000001</v>
      </c>
      <c r="W637">
        <v>10404.17</v>
      </c>
      <c r="X637">
        <v>5990.79</v>
      </c>
      <c r="Y637">
        <f>V637-W637</f>
        <v>5990.7925000000014</v>
      </c>
      <c r="Z637" s="12">
        <f>Y637/V637</f>
        <v>0.36540446493854445</v>
      </c>
      <c r="AA637" t="s">
        <v>32</v>
      </c>
      <c r="AB637" t="s">
        <v>33</v>
      </c>
      <c r="AC637" s="14" t="s">
        <v>2794</v>
      </c>
      <c r="AD637" t="s">
        <v>2782</v>
      </c>
      <c r="AE637" t="str">
        <f>PROPER(TRIM(AB637))</f>
        <v>Completed</v>
      </c>
      <c r="AS637" t="str">
        <f t="shared" si="11"/>
        <v/>
      </c>
    </row>
    <row r="638" spans="1:45">
      <c r="A638" t="s">
        <v>1996</v>
      </c>
      <c r="B638" s="7">
        <v>45567</v>
      </c>
      <c r="C638" s="4">
        <v>45574</v>
      </c>
      <c r="D638">
        <f>C638-B638</f>
        <v>7</v>
      </c>
      <c r="E638" t="str">
        <f>TEXT(B638,"mmmm")</f>
        <v>October</v>
      </c>
      <c r="F638">
        <f>YEAR(B638)</f>
        <v>2024</v>
      </c>
      <c r="G638" t="s">
        <v>1997</v>
      </c>
      <c r="H638" t="s">
        <v>62</v>
      </c>
      <c r="I638" t="s">
        <v>24</v>
      </c>
      <c r="J638" t="s">
        <v>54</v>
      </c>
      <c r="K638" t="s">
        <v>247</v>
      </c>
      <c r="L638" t="s">
        <v>248</v>
      </c>
      <c r="M638" t="s">
        <v>28</v>
      </c>
      <c r="N638" t="s">
        <v>29</v>
      </c>
      <c r="O638" t="s">
        <v>1998</v>
      </c>
      <c r="P638" t="s">
        <v>59</v>
      </c>
      <c r="Q638">
        <v>8</v>
      </c>
      <c r="R638">
        <v>1910.31</v>
      </c>
      <c r="S638">
        <v>0.15</v>
      </c>
      <c r="T638" s="12">
        <f>S638</f>
        <v>0.15</v>
      </c>
      <c r="U638">
        <v>12990.11</v>
      </c>
      <c r="V638">
        <f>Q638*R638*(1-S638)</f>
        <v>12990.108</v>
      </c>
      <c r="W638">
        <v>10200.799999999999</v>
      </c>
      <c r="X638">
        <v>2789.31</v>
      </c>
      <c r="Y638">
        <f>V638-W638</f>
        <v>2789.3080000000009</v>
      </c>
      <c r="Z638" s="12">
        <f>Y638/V638</f>
        <v>0.2147255434673831</v>
      </c>
      <c r="AA638" t="s">
        <v>32</v>
      </c>
      <c r="AB638" t="s">
        <v>33</v>
      </c>
      <c r="AC638" s="14" t="s">
        <v>2794</v>
      </c>
      <c r="AD638" t="s">
        <v>2782</v>
      </c>
      <c r="AE638" t="str">
        <f>PROPER(TRIM(AB638))</f>
        <v>Completed</v>
      </c>
      <c r="AS638" t="str">
        <f t="shared" si="11"/>
        <v/>
      </c>
    </row>
    <row r="639" spans="1:45">
      <c r="A639" t="s">
        <v>1999</v>
      </c>
      <c r="B639" s="7">
        <v>45438</v>
      </c>
      <c r="C639" s="4">
        <v>45438</v>
      </c>
      <c r="D639">
        <f>C639-B639</f>
        <v>0</v>
      </c>
      <c r="E639" t="str">
        <f>TEXT(B639,"mmmm")</f>
        <v>May</v>
      </c>
      <c r="F639">
        <f>YEAR(B639)</f>
        <v>2024</v>
      </c>
      <c r="G639" t="s">
        <v>2000</v>
      </c>
      <c r="H639" t="s">
        <v>118</v>
      </c>
      <c r="I639" t="s">
        <v>37</v>
      </c>
      <c r="J639" t="s">
        <v>63</v>
      </c>
      <c r="K639" t="s">
        <v>190</v>
      </c>
      <c r="L639" t="s">
        <v>191</v>
      </c>
      <c r="M639" t="s">
        <v>74</v>
      </c>
      <c r="N639" t="s">
        <v>80</v>
      </c>
      <c r="O639" t="s">
        <v>2001</v>
      </c>
      <c r="P639" t="s">
        <v>50</v>
      </c>
      <c r="Q639">
        <v>2</v>
      </c>
      <c r="R639">
        <v>3192.47</v>
      </c>
      <c r="S639">
        <v>0.2</v>
      </c>
      <c r="T639" s="12">
        <f>S639</f>
        <v>0.2</v>
      </c>
      <c r="U639">
        <v>5107.95</v>
      </c>
      <c r="V639">
        <f>Q639*R639*(1-S639)</f>
        <v>5107.9520000000002</v>
      </c>
      <c r="W639">
        <v>3133.08</v>
      </c>
      <c r="X639">
        <v>1974.87</v>
      </c>
      <c r="Y639">
        <f>V639-W639</f>
        <v>1974.8720000000003</v>
      </c>
      <c r="Z639" s="12">
        <f>Y639/V639</f>
        <v>0.38662696908663202</v>
      </c>
      <c r="AA639" t="s">
        <v>32</v>
      </c>
      <c r="AB639" t="s">
        <v>33</v>
      </c>
      <c r="AC639" s="14" t="s">
        <v>2794</v>
      </c>
      <c r="AD639" t="s">
        <v>2782</v>
      </c>
      <c r="AE639" t="str">
        <f>PROPER(TRIM(AB639))</f>
        <v>Completed</v>
      </c>
      <c r="AS639" t="str">
        <f t="shared" si="11"/>
        <v/>
      </c>
    </row>
    <row r="640" spans="1:45">
      <c r="A640" t="s">
        <v>2002</v>
      </c>
      <c r="B640" s="7">
        <v>45317</v>
      </c>
      <c r="C640" s="4">
        <v>45322</v>
      </c>
      <c r="D640">
        <f>C640-B640</f>
        <v>5</v>
      </c>
      <c r="E640" t="str">
        <f>TEXT(B640,"mmmm")</f>
        <v>January</v>
      </c>
      <c r="F640">
        <f>YEAR(B640)</f>
        <v>2024</v>
      </c>
      <c r="G640" t="s">
        <v>2003</v>
      </c>
      <c r="H640" t="s">
        <v>23</v>
      </c>
      <c r="I640" t="s">
        <v>90</v>
      </c>
      <c r="J640" t="s">
        <v>54</v>
      </c>
      <c r="K640" t="s">
        <v>185</v>
      </c>
      <c r="L640" t="s">
        <v>186</v>
      </c>
      <c r="M640" t="s">
        <v>28</v>
      </c>
      <c r="N640" t="s">
        <v>124</v>
      </c>
      <c r="O640" t="s">
        <v>2004</v>
      </c>
      <c r="P640" t="s">
        <v>31</v>
      </c>
      <c r="Q640">
        <v>3</v>
      </c>
      <c r="R640">
        <v>3224.32</v>
      </c>
      <c r="S640">
        <v>0.2</v>
      </c>
      <c r="T640" s="12">
        <f>S640</f>
        <v>0.2</v>
      </c>
      <c r="U640">
        <v>7738.37</v>
      </c>
      <c r="V640">
        <f>Q640*R640*(1-S640)</f>
        <v>7738.3680000000013</v>
      </c>
      <c r="W640">
        <v>4626.8500000000004</v>
      </c>
      <c r="X640">
        <v>3111.52</v>
      </c>
      <c r="Y640">
        <f>V640-W640</f>
        <v>3111.5180000000009</v>
      </c>
      <c r="Z640" s="12">
        <f>Y640/V640</f>
        <v>0.40208969126306743</v>
      </c>
      <c r="AA640" t="s">
        <v>155</v>
      </c>
      <c r="AB640" t="s">
        <v>103</v>
      </c>
      <c r="AC640" s="14" t="s">
        <v>2794</v>
      </c>
      <c r="AD640" t="s">
        <v>2782</v>
      </c>
      <c r="AE640" t="str">
        <f>PROPER(TRIM(AB640))</f>
        <v>Returned</v>
      </c>
      <c r="AS640" t="str">
        <f t="shared" si="11"/>
        <v/>
      </c>
    </row>
    <row r="641" spans="1:45">
      <c r="A641" t="s">
        <v>2005</v>
      </c>
      <c r="B641" s="7">
        <v>45653</v>
      </c>
      <c r="C641" s="4">
        <v>45657</v>
      </c>
      <c r="D641">
        <f>C641-B641</f>
        <v>4</v>
      </c>
      <c r="E641" t="str">
        <f>TEXT(B641,"mmmm")</f>
        <v>December</v>
      </c>
      <c r="F641">
        <f>YEAR(B641)</f>
        <v>2024</v>
      </c>
      <c r="G641" t="s">
        <v>2006</v>
      </c>
      <c r="H641" t="s">
        <v>47</v>
      </c>
      <c r="I641" t="s">
        <v>37</v>
      </c>
      <c r="J641" t="s">
        <v>38</v>
      </c>
      <c r="K641" t="s">
        <v>39</v>
      </c>
      <c r="L641" t="s">
        <v>40</v>
      </c>
      <c r="M641" t="s">
        <v>41</v>
      </c>
      <c r="N641" t="s">
        <v>66</v>
      </c>
      <c r="O641" t="s">
        <v>2007</v>
      </c>
      <c r="P641" t="s">
        <v>31</v>
      </c>
      <c r="Q641">
        <v>1</v>
      </c>
      <c r="R641">
        <v>1594.7</v>
      </c>
      <c r="S641">
        <v>0.05</v>
      </c>
      <c r="T641" s="12">
        <f>S641</f>
        <v>0.05</v>
      </c>
      <c r="U641">
        <v>1514.96</v>
      </c>
      <c r="V641">
        <f>Q641*R641*(1-S641)</f>
        <v>1514.9649999999999</v>
      </c>
      <c r="W641">
        <v>1046.17</v>
      </c>
      <c r="X641">
        <v>468.79</v>
      </c>
      <c r="Y641">
        <f>V641-W641</f>
        <v>468.79499999999985</v>
      </c>
      <c r="Z641" s="12">
        <f>Y641/V641</f>
        <v>0.3094427924077453</v>
      </c>
      <c r="AA641" t="s">
        <v>32</v>
      </c>
      <c r="AB641" t="s">
        <v>33</v>
      </c>
      <c r="AC641" s="14" t="s">
        <v>2794</v>
      </c>
      <c r="AD641" t="s">
        <v>2782</v>
      </c>
      <c r="AE641" t="str">
        <f>PROPER(TRIM(AB641))</f>
        <v>Completed</v>
      </c>
      <c r="AS641" t="str">
        <f t="shared" si="11"/>
        <v/>
      </c>
    </row>
    <row r="642" spans="1:45">
      <c r="A642" t="s">
        <v>2008</v>
      </c>
      <c r="B642" s="7">
        <v>45671</v>
      </c>
      <c r="C642" s="4">
        <v>45674</v>
      </c>
      <c r="D642">
        <f>C642-B642</f>
        <v>3</v>
      </c>
      <c r="E642" t="str">
        <f>TEXT(B642,"mmmm")</f>
        <v>January</v>
      </c>
      <c r="F642">
        <f>YEAR(B642)</f>
        <v>2025</v>
      </c>
      <c r="G642" t="s">
        <v>2009</v>
      </c>
      <c r="H642" t="s">
        <v>71</v>
      </c>
      <c r="I642" t="s">
        <v>24</v>
      </c>
      <c r="J642" t="s">
        <v>63</v>
      </c>
      <c r="K642" t="s">
        <v>190</v>
      </c>
      <c r="L642" t="s">
        <v>191</v>
      </c>
      <c r="M642" t="s">
        <v>28</v>
      </c>
      <c r="N642" t="s">
        <v>124</v>
      </c>
      <c r="O642" t="s">
        <v>2010</v>
      </c>
      <c r="P642" t="s">
        <v>50</v>
      </c>
      <c r="Q642">
        <v>1</v>
      </c>
      <c r="R642">
        <v>1584.12</v>
      </c>
      <c r="S642">
        <v>0.2</v>
      </c>
      <c r="T642" s="12">
        <f>S642</f>
        <v>0.2</v>
      </c>
      <c r="U642">
        <v>1267.3</v>
      </c>
      <c r="V642">
        <f>Q642*R642*(1-S642)</f>
        <v>1267.296</v>
      </c>
      <c r="W642">
        <v>923.53</v>
      </c>
      <c r="X642">
        <v>343.77</v>
      </c>
      <c r="Y642">
        <f>V642-W642</f>
        <v>343.76600000000008</v>
      </c>
      <c r="Z642" s="12">
        <f>Y642/V642</f>
        <v>0.27125943741635739</v>
      </c>
      <c r="AA642" t="s">
        <v>32</v>
      </c>
      <c r="AB642" t="s">
        <v>33</v>
      </c>
      <c r="AC642" s="14" t="s">
        <v>2794</v>
      </c>
      <c r="AD642" t="s">
        <v>2782</v>
      </c>
      <c r="AE642" t="str">
        <f>PROPER(TRIM(AB642))</f>
        <v>Completed</v>
      </c>
      <c r="AS642" t="str">
        <f t="shared" si="11"/>
        <v/>
      </c>
    </row>
    <row r="643" spans="1:45">
      <c r="A643" t="s">
        <v>2011</v>
      </c>
      <c r="B643" s="7">
        <v>45756</v>
      </c>
      <c r="C643" s="4">
        <v>45761</v>
      </c>
      <c r="D643">
        <f>C643-B643</f>
        <v>5</v>
      </c>
      <c r="E643" t="str">
        <f>TEXT(B643,"mmmm")</f>
        <v>April</v>
      </c>
      <c r="F643">
        <f>YEAR(B643)</f>
        <v>2025</v>
      </c>
      <c r="G643" t="s">
        <v>2012</v>
      </c>
      <c r="H643" t="s">
        <v>23</v>
      </c>
      <c r="I643" t="s">
        <v>24</v>
      </c>
      <c r="J643" t="s">
        <v>25</v>
      </c>
      <c r="K643" t="s">
        <v>350</v>
      </c>
      <c r="L643" t="s">
        <v>351</v>
      </c>
      <c r="M643" t="s">
        <v>41</v>
      </c>
      <c r="N643" t="s">
        <v>57</v>
      </c>
      <c r="O643" t="s">
        <v>2013</v>
      </c>
      <c r="P643" t="s">
        <v>44</v>
      </c>
      <c r="Q643">
        <v>2</v>
      </c>
      <c r="R643">
        <v>3202.87</v>
      </c>
      <c r="S643">
        <v>0</v>
      </c>
      <c r="T643" s="12">
        <f>S643</f>
        <v>0</v>
      </c>
      <c r="U643">
        <v>6405.74</v>
      </c>
      <c r="V643">
        <f>Q643*R643*(1-S643)</f>
        <v>6405.74</v>
      </c>
      <c r="W643">
        <v>3561.87</v>
      </c>
      <c r="X643">
        <v>2843.87</v>
      </c>
      <c r="Y643">
        <f>V643-W643</f>
        <v>2843.87</v>
      </c>
      <c r="Z643" s="12">
        <f>Y643/V643</f>
        <v>0.44395651400150488</v>
      </c>
      <c r="AA643" t="s">
        <v>32</v>
      </c>
      <c r="AB643" t="s">
        <v>33</v>
      </c>
      <c r="AC643" s="14" t="s">
        <v>2794</v>
      </c>
      <c r="AD643" t="s">
        <v>2782</v>
      </c>
      <c r="AE643" t="str">
        <f>PROPER(TRIM(AB643))</f>
        <v>Completed</v>
      </c>
      <c r="AS643" t="str">
        <f t="shared" ref="AS643:AS706" si="12">PROPER(TRIM(AD643))</f>
        <v/>
      </c>
    </row>
    <row r="644" spans="1:45">
      <c r="A644" t="s">
        <v>2014</v>
      </c>
      <c r="B644" s="7">
        <v>45533</v>
      </c>
      <c r="C644" s="4">
        <v>45535</v>
      </c>
      <c r="D644">
        <f>C644-B644</f>
        <v>2</v>
      </c>
      <c r="E644" t="str">
        <f>TEXT(B644,"mmmm")</f>
        <v>August</v>
      </c>
      <c r="F644">
        <f>YEAR(B644)</f>
        <v>2024</v>
      </c>
      <c r="G644" t="s">
        <v>2015</v>
      </c>
      <c r="H644" t="s">
        <v>47</v>
      </c>
      <c r="I644" t="s">
        <v>95</v>
      </c>
      <c r="J644" t="s">
        <v>38</v>
      </c>
      <c r="K644" t="s">
        <v>166</v>
      </c>
      <c r="L644" t="s">
        <v>167</v>
      </c>
      <c r="M644" t="s">
        <v>28</v>
      </c>
      <c r="N644" t="s">
        <v>153</v>
      </c>
      <c r="O644" t="s">
        <v>2016</v>
      </c>
      <c r="P644" t="s">
        <v>31</v>
      </c>
      <c r="Q644">
        <v>9</v>
      </c>
      <c r="R644">
        <v>1275.21</v>
      </c>
      <c r="S644">
        <v>0.25</v>
      </c>
      <c r="T644" s="12">
        <f>S644</f>
        <v>0.25</v>
      </c>
      <c r="U644">
        <v>8607.67</v>
      </c>
      <c r="V644">
        <f>Q644*R644*(1-S644)</f>
        <v>8607.6674999999996</v>
      </c>
      <c r="W644">
        <v>5337.64</v>
      </c>
      <c r="X644">
        <v>3270.03</v>
      </c>
      <c r="Y644">
        <f>V644-W644</f>
        <v>3270.0274999999992</v>
      </c>
      <c r="Z644" s="12">
        <f>Y644/V644</f>
        <v>0.37989705108846261</v>
      </c>
      <c r="AA644" t="s">
        <v>155</v>
      </c>
      <c r="AB644" t="s">
        <v>103</v>
      </c>
      <c r="AC644" s="14" t="s">
        <v>2794</v>
      </c>
      <c r="AD644" t="s">
        <v>2782</v>
      </c>
      <c r="AE644" t="str">
        <f>PROPER(TRIM(AB644))</f>
        <v>Returned</v>
      </c>
      <c r="AS644" t="str">
        <f t="shared" si="12"/>
        <v/>
      </c>
    </row>
    <row r="645" spans="1:45">
      <c r="A645" t="s">
        <v>2017</v>
      </c>
      <c r="B645" s="7">
        <v>45327</v>
      </c>
      <c r="C645" s="4">
        <v>45335</v>
      </c>
      <c r="D645">
        <f>C645-B645</f>
        <v>8</v>
      </c>
      <c r="E645" t="str">
        <f>TEXT(B645,"mmmm")</f>
        <v>February</v>
      </c>
      <c r="F645">
        <f>YEAR(B645)</f>
        <v>2024</v>
      </c>
      <c r="G645" t="s">
        <v>719</v>
      </c>
      <c r="H645" t="s">
        <v>128</v>
      </c>
      <c r="I645" t="s">
        <v>95</v>
      </c>
      <c r="J645" t="s">
        <v>25</v>
      </c>
      <c r="K645" t="s">
        <v>136</v>
      </c>
      <c r="L645" t="s">
        <v>137</v>
      </c>
      <c r="M645" t="s">
        <v>28</v>
      </c>
      <c r="N645" t="s">
        <v>91</v>
      </c>
      <c r="O645" t="s">
        <v>2018</v>
      </c>
      <c r="P645" t="s">
        <v>59</v>
      </c>
      <c r="Q645">
        <v>8</v>
      </c>
      <c r="R645">
        <v>3871.18</v>
      </c>
      <c r="S645">
        <v>0.15</v>
      </c>
      <c r="T645" s="12">
        <f>S645</f>
        <v>0.15</v>
      </c>
      <c r="U645">
        <v>26324.02</v>
      </c>
      <c r="V645">
        <f>Q645*R645*(1-S645)</f>
        <v>26324.023999999998</v>
      </c>
      <c r="W645">
        <v>16277.96</v>
      </c>
      <c r="X645">
        <v>10046.06</v>
      </c>
      <c r="Y645">
        <f>V645-W645</f>
        <v>10046.063999999998</v>
      </c>
      <c r="Z645" s="12">
        <f>Y645/V645</f>
        <v>0.3816310150758106</v>
      </c>
      <c r="AA645" t="s">
        <v>155</v>
      </c>
      <c r="AB645" t="s">
        <v>103</v>
      </c>
      <c r="AC645" s="14" t="s">
        <v>2794</v>
      </c>
      <c r="AD645" t="s">
        <v>2782</v>
      </c>
      <c r="AE645" t="str">
        <f>PROPER(TRIM(AB645))</f>
        <v>Returned</v>
      </c>
      <c r="AS645" t="str">
        <f t="shared" si="12"/>
        <v/>
      </c>
    </row>
    <row r="646" spans="1:45">
      <c r="A646" t="s">
        <v>2019</v>
      </c>
      <c r="B646" s="7">
        <v>45757</v>
      </c>
      <c r="C646" s="4">
        <v>45764</v>
      </c>
      <c r="D646">
        <f>C646-B646</f>
        <v>7</v>
      </c>
      <c r="E646" t="str">
        <f>TEXT(B646,"mmmm")</f>
        <v>April</v>
      </c>
      <c r="F646">
        <f>YEAR(B646)</f>
        <v>2025</v>
      </c>
      <c r="G646" t="s">
        <v>2020</v>
      </c>
      <c r="H646" t="s">
        <v>71</v>
      </c>
      <c r="I646" t="s">
        <v>24</v>
      </c>
      <c r="J646" t="s">
        <v>38</v>
      </c>
      <c r="K646" t="s">
        <v>99</v>
      </c>
      <c r="L646" t="s">
        <v>100</v>
      </c>
      <c r="M646" t="s">
        <v>41</v>
      </c>
      <c r="N646" t="s">
        <v>66</v>
      </c>
      <c r="O646" t="s">
        <v>2021</v>
      </c>
      <c r="P646" t="s">
        <v>59</v>
      </c>
      <c r="Q646">
        <v>4</v>
      </c>
      <c r="R646">
        <v>3750.02</v>
      </c>
      <c r="S646">
        <v>0.05</v>
      </c>
      <c r="T646" s="12">
        <f>S646</f>
        <v>0.05</v>
      </c>
      <c r="U646">
        <v>14250.08</v>
      </c>
      <c r="V646">
        <f>Q646*R646*(1-S646)</f>
        <v>14250.075999999999</v>
      </c>
      <c r="W646">
        <v>10914.92</v>
      </c>
      <c r="X646">
        <v>3335.16</v>
      </c>
      <c r="Y646">
        <f>V646-W646</f>
        <v>3335.155999999999</v>
      </c>
      <c r="Z646" s="12">
        <f>Y646/V646</f>
        <v>0.23404478684885605</v>
      </c>
      <c r="AA646" t="s">
        <v>32</v>
      </c>
      <c r="AB646" t="s">
        <v>33</v>
      </c>
      <c r="AC646" s="14" t="s">
        <v>2794</v>
      </c>
      <c r="AD646" t="s">
        <v>2782</v>
      </c>
      <c r="AE646" t="str">
        <f>PROPER(TRIM(AB646))</f>
        <v>Completed</v>
      </c>
      <c r="AS646" t="str">
        <f t="shared" si="12"/>
        <v/>
      </c>
    </row>
    <row r="647" spans="1:45">
      <c r="A647" t="s">
        <v>2022</v>
      </c>
      <c r="B647" s="7">
        <v>45295</v>
      </c>
      <c r="C647" s="4">
        <v>45300</v>
      </c>
      <c r="D647">
        <f>C647-B647</f>
        <v>5</v>
      </c>
      <c r="E647" t="str">
        <f>TEXT(B647,"mmmm")</f>
        <v>January</v>
      </c>
      <c r="F647">
        <f>YEAR(B647)</f>
        <v>2024</v>
      </c>
      <c r="G647" t="s">
        <v>2023</v>
      </c>
      <c r="H647" t="s">
        <v>264</v>
      </c>
      <c r="I647" t="s">
        <v>24</v>
      </c>
      <c r="J647" t="s">
        <v>38</v>
      </c>
      <c r="K647" t="s">
        <v>145</v>
      </c>
      <c r="L647" t="s">
        <v>146</v>
      </c>
      <c r="M647" t="s">
        <v>41</v>
      </c>
      <c r="N647" t="s">
        <v>66</v>
      </c>
      <c r="O647" t="s">
        <v>2024</v>
      </c>
      <c r="P647" t="s">
        <v>31</v>
      </c>
      <c r="Q647">
        <v>6</v>
      </c>
      <c r="R647">
        <v>2423.61</v>
      </c>
      <c r="S647">
        <v>0.1</v>
      </c>
      <c r="T647" s="12">
        <f>S647</f>
        <v>0.1</v>
      </c>
      <c r="U647">
        <v>13087.49</v>
      </c>
      <c r="V647">
        <f>Q647*R647*(1-S647)</f>
        <v>13087.494000000001</v>
      </c>
      <c r="W647">
        <v>7608.89</v>
      </c>
      <c r="X647">
        <v>5133.22</v>
      </c>
      <c r="Y647">
        <f>V647-W647</f>
        <v>5478.6040000000003</v>
      </c>
      <c r="Z647" s="12">
        <f>Y647/V647</f>
        <v>0.41861367806548755</v>
      </c>
      <c r="AA647" t="s">
        <v>32</v>
      </c>
      <c r="AB647" t="s">
        <v>33</v>
      </c>
      <c r="AC647" s="14" t="s">
        <v>2794</v>
      </c>
      <c r="AD647" t="s">
        <v>2782</v>
      </c>
      <c r="AE647" t="str">
        <f>PROPER(TRIM(AB647))</f>
        <v>Completed</v>
      </c>
      <c r="AS647" t="str">
        <f t="shared" si="12"/>
        <v/>
      </c>
    </row>
    <row r="648" spans="1:45">
      <c r="A648" t="s">
        <v>2025</v>
      </c>
      <c r="B648" s="7">
        <v>45553</v>
      </c>
      <c r="C648" s="4">
        <v>45559</v>
      </c>
      <c r="D648">
        <f>C648-B648</f>
        <v>6</v>
      </c>
      <c r="E648" t="str">
        <f>TEXT(B648,"mmmm")</f>
        <v>September</v>
      </c>
      <c r="F648">
        <f>YEAR(B648)</f>
        <v>2024</v>
      </c>
      <c r="G648" t="s">
        <v>2026</v>
      </c>
      <c r="H648" t="s">
        <v>71</v>
      </c>
      <c r="I648" t="s">
        <v>37</v>
      </c>
      <c r="J648" t="s">
        <v>38</v>
      </c>
      <c r="K648" t="s">
        <v>228</v>
      </c>
      <c r="L648" t="s">
        <v>229</v>
      </c>
      <c r="M648" t="s">
        <v>74</v>
      </c>
      <c r="N648" t="s">
        <v>274</v>
      </c>
      <c r="O648" t="s">
        <v>2027</v>
      </c>
      <c r="P648" t="s">
        <v>50</v>
      </c>
      <c r="Q648">
        <v>3</v>
      </c>
      <c r="R648">
        <v>729.14</v>
      </c>
      <c r="S648">
        <v>0.25</v>
      </c>
      <c r="T648" s="12">
        <f>S648</f>
        <v>0.25</v>
      </c>
      <c r="U648">
        <v>1640.57</v>
      </c>
      <c r="V648">
        <f>Q648*R648*(1-S648)</f>
        <v>1640.5650000000001</v>
      </c>
      <c r="W648">
        <v>1136.98</v>
      </c>
      <c r="X648">
        <v>503.59</v>
      </c>
      <c r="Y648">
        <f>V648-W648</f>
        <v>503.58500000000004</v>
      </c>
      <c r="Z648" s="12">
        <f>Y648/V648</f>
        <v>0.30695827352162214</v>
      </c>
      <c r="AA648" t="s">
        <v>32</v>
      </c>
      <c r="AB648" t="s">
        <v>33</v>
      </c>
      <c r="AC648" s="14" t="s">
        <v>2794</v>
      </c>
      <c r="AD648" t="s">
        <v>2782</v>
      </c>
      <c r="AE648" t="str">
        <f>PROPER(TRIM(AB648))</f>
        <v>Completed</v>
      </c>
      <c r="AS648" t="str">
        <f t="shared" si="12"/>
        <v/>
      </c>
    </row>
    <row r="649" spans="1:45">
      <c r="A649" t="s">
        <v>2028</v>
      </c>
      <c r="B649" s="7">
        <v>45658</v>
      </c>
      <c r="C649" s="4">
        <v>45666</v>
      </c>
      <c r="D649">
        <f>C649-B649</f>
        <v>8</v>
      </c>
      <c r="E649" t="str">
        <f>TEXT(B649,"mmmm")</f>
        <v>January</v>
      </c>
      <c r="F649">
        <f>YEAR(B649)</f>
        <v>2025</v>
      </c>
      <c r="G649" t="s">
        <v>2029</v>
      </c>
      <c r="H649" t="s">
        <v>141</v>
      </c>
      <c r="I649" t="s">
        <v>37</v>
      </c>
      <c r="J649" t="s">
        <v>25</v>
      </c>
      <c r="K649" t="s">
        <v>122</v>
      </c>
      <c r="L649" t="s">
        <v>123</v>
      </c>
      <c r="M649" t="s">
        <v>28</v>
      </c>
      <c r="N649" t="s">
        <v>48</v>
      </c>
      <c r="O649" t="s">
        <v>2030</v>
      </c>
      <c r="P649" t="s">
        <v>50</v>
      </c>
      <c r="Q649">
        <v>8</v>
      </c>
      <c r="R649">
        <v>2123.81</v>
      </c>
      <c r="S649">
        <v>0.15</v>
      </c>
      <c r="T649" s="12">
        <f>S649</f>
        <v>0.15</v>
      </c>
      <c r="U649">
        <v>14441.91</v>
      </c>
      <c r="V649">
        <f>Q649*R649*(1-S649)</f>
        <v>14441.907999999999</v>
      </c>
      <c r="W649">
        <v>10872.89</v>
      </c>
      <c r="X649">
        <v>3569.02</v>
      </c>
      <c r="Y649">
        <f>V649-W649</f>
        <v>3569.018</v>
      </c>
      <c r="Z649" s="12">
        <f>Y649/V649</f>
        <v>0.24712925743606731</v>
      </c>
      <c r="AA649" t="s">
        <v>32</v>
      </c>
      <c r="AB649" t="s">
        <v>33</v>
      </c>
      <c r="AC649" s="14" t="s">
        <v>2794</v>
      </c>
      <c r="AD649" t="s">
        <v>2782</v>
      </c>
      <c r="AE649" t="str">
        <f>PROPER(TRIM(AB649))</f>
        <v>Completed</v>
      </c>
      <c r="AS649" t="str">
        <f t="shared" si="12"/>
        <v/>
      </c>
    </row>
    <row r="650" spans="1:45">
      <c r="A650" t="s">
        <v>2031</v>
      </c>
      <c r="B650" s="7">
        <v>45403</v>
      </c>
      <c r="C650" s="4">
        <v>45406</v>
      </c>
      <c r="D650">
        <f>C650-B650</f>
        <v>3</v>
      </c>
      <c r="E650" t="str">
        <f>TEXT(B650,"mmmm")</f>
        <v>April</v>
      </c>
      <c r="F650">
        <f>YEAR(B650)</f>
        <v>2024</v>
      </c>
      <c r="G650" t="s">
        <v>2032</v>
      </c>
      <c r="H650" t="s">
        <v>79</v>
      </c>
      <c r="I650" t="s">
        <v>37</v>
      </c>
      <c r="J650" t="s">
        <v>54</v>
      </c>
      <c r="K650" t="s">
        <v>84</v>
      </c>
      <c r="L650" t="s">
        <v>85</v>
      </c>
      <c r="M650" t="s">
        <v>28</v>
      </c>
      <c r="N650" t="s">
        <v>48</v>
      </c>
      <c r="O650" t="s">
        <v>2033</v>
      </c>
      <c r="P650" t="s">
        <v>44</v>
      </c>
      <c r="Q650">
        <v>9</v>
      </c>
      <c r="R650">
        <v>703.59</v>
      </c>
      <c r="S650">
        <v>0.2</v>
      </c>
      <c r="T650" s="12">
        <f>S650</f>
        <v>0.2</v>
      </c>
      <c r="U650">
        <v>5065.8500000000004</v>
      </c>
      <c r="V650">
        <f>Q650*R650*(1-S650)</f>
        <v>5065.8480000000009</v>
      </c>
      <c r="W650">
        <v>3517.23</v>
      </c>
      <c r="X650">
        <v>1548.62</v>
      </c>
      <c r="Y650">
        <f>V650-W650</f>
        <v>1548.6180000000008</v>
      </c>
      <c r="Z650" s="12">
        <f>Y650/V650</f>
        <v>0.30569768378364304</v>
      </c>
      <c r="AA650" t="s">
        <v>155</v>
      </c>
      <c r="AB650" t="s">
        <v>103</v>
      </c>
      <c r="AC650" s="14" t="s">
        <v>2794</v>
      </c>
      <c r="AD650" t="s">
        <v>2782</v>
      </c>
      <c r="AE650" t="str">
        <f>PROPER(TRIM(AB650))</f>
        <v>Returned</v>
      </c>
      <c r="AS650" t="str">
        <f t="shared" si="12"/>
        <v/>
      </c>
    </row>
    <row r="651" spans="1:45">
      <c r="A651" t="s">
        <v>2034</v>
      </c>
      <c r="B651" s="7">
        <v>45880</v>
      </c>
      <c r="C651" s="4">
        <v>45888</v>
      </c>
      <c r="D651">
        <f>C651-B651</f>
        <v>8</v>
      </c>
      <c r="E651" t="str">
        <f>TEXT(B651,"mmmm")</f>
        <v>August</v>
      </c>
      <c r="F651">
        <f>YEAR(B651)</f>
        <v>2025</v>
      </c>
      <c r="G651" t="s">
        <v>2035</v>
      </c>
      <c r="H651" t="s">
        <v>264</v>
      </c>
      <c r="I651" t="s">
        <v>37</v>
      </c>
      <c r="J651" t="s">
        <v>54</v>
      </c>
      <c r="K651" t="s">
        <v>185</v>
      </c>
      <c r="L651" t="s">
        <v>186</v>
      </c>
      <c r="M651" t="s">
        <v>74</v>
      </c>
      <c r="N651" t="s">
        <v>75</v>
      </c>
      <c r="O651" t="s">
        <v>2036</v>
      </c>
      <c r="P651" t="s">
        <v>59</v>
      </c>
      <c r="Q651">
        <v>4</v>
      </c>
      <c r="R651">
        <v>2258.96</v>
      </c>
      <c r="S651">
        <v>0.25</v>
      </c>
      <c r="T651" s="12">
        <f>S651</f>
        <v>0.25</v>
      </c>
      <c r="U651">
        <v>6776.88</v>
      </c>
      <c r="V651">
        <f>Q651*R651*(1-S651)</f>
        <v>6776.88</v>
      </c>
      <c r="W651">
        <v>3836.24</v>
      </c>
      <c r="X651">
        <v>2940.64</v>
      </c>
      <c r="Y651">
        <f>V651-W651</f>
        <v>2940.6400000000003</v>
      </c>
      <c r="Z651" s="12">
        <f>Y651/V651</f>
        <v>0.43392239496641527</v>
      </c>
      <c r="AA651" t="s">
        <v>32</v>
      </c>
      <c r="AB651" t="s">
        <v>33</v>
      </c>
      <c r="AC651" s="14" t="s">
        <v>2794</v>
      </c>
      <c r="AD651" t="s">
        <v>2782</v>
      </c>
      <c r="AE651" t="str">
        <f>PROPER(TRIM(AB651))</f>
        <v>Completed</v>
      </c>
      <c r="AS651" t="str">
        <f t="shared" si="12"/>
        <v/>
      </c>
    </row>
    <row r="652" spans="1:45">
      <c r="A652" t="s">
        <v>2037</v>
      </c>
      <c r="B652" s="7">
        <v>45395</v>
      </c>
      <c r="C652" s="4">
        <v>45403</v>
      </c>
      <c r="D652">
        <f>C652-B652</f>
        <v>8</v>
      </c>
      <c r="E652" t="str">
        <f>TEXT(B652,"mmmm")</f>
        <v>April</v>
      </c>
      <c r="F652">
        <f>YEAR(B652)</f>
        <v>2024</v>
      </c>
      <c r="G652" t="s">
        <v>378</v>
      </c>
      <c r="H652" t="s">
        <v>128</v>
      </c>
      <c r="I652" t="s">
        <v>95</v>
      </c>
      <c r="J652" t="s">
        <v>38</v>
      </c>
      <c r="K652" t="s">
        <v>145</v>
      </c>
      <c r="L652" t="s">
        <v>146</v>
      </c>
      <c r="M652" t="s">
        <v>74</v>
      </c>
      <c r="N652" t="s">
        <v>75</v>
      </c>
      <c r="O652" t="s">
        <v>2038</v>
      </c>
      <c r="P652" t="s">
        <v>44</v>
      </c>
      <c r="Q652">
        <v>7</v>
      </c>
      <c r="R652">
        <v>2648.76</v>
      </c>
      <c r="S652">
        <v>0.15</v>
      </c>
      <c r="T652" s="12">
        <f>S652</f>
        <v>0.15</v>
      </c>
      <c r="U652">
        <v>15760.12</v>
      </c>
      <c r="V652">
        <f>Q652*R652*(1-S652)</f>
        <v>15760.121999999999</v>
      </c>
      <c r="W652">
        <v>9931.5300000000007</v>
      </c>
      <c r="X652">
        <v>5828.59</v>
      </c>
      <c r="Y652">
        <f>V652-W652</f>
        <v>5828.5919999999987</v>
      </c>
      <c r="Z652" s="12">
        <f>Y652/V652</f>
        <v>0.36983165485647884</v>
      </c>
      <c r="AA652" t="s">
        <v>155</v>
      </c>
      <c r="AB652" t="s">
        <v>103</v>
      </c>
      <c r="AC652" s="14" t="s">
        <v>2794</v>
      </c>
      <c r="AD652" t="s">
        <v>2782</v>
      </c>
      <c r="AE652" t="str">
        <f>PROPER(TRIM(AB652))</f>
        <v>Returned</v>
      </c>
      <c r="AS652" t="str">
        <f t="shared" si="12"/>
        <v/>
      </c>
    </row>
    <row r="653" spans="1:45">
      <c r="A653" t="s">
        <v>2039</v>
      </c>
      <c r="B653" s="7">
        <v>45875</v>
      </c>
      <c r="C653" s="4">
        <v>45878</v>
      </c>
      <c r="D653">
        <f>C653-B653</f>
        <v>3</v>
      </c>
      <c r="E653" t="str">
        <f>TEXT(B653,"mmmm")</f>
        <v>August</v>
      </c>
      <c r="F653">
        <f>YEAR(B653)</f>
        <v>2025</v>
      </c>
      <c r="G653" t="s">
        <v>2040</v>
      </c>
      <c r="H653" t="s">
        <v>36</v>
      </c>
      <c r="I653" t="s">
        <v>37</v>
      </c>
      <c r="J653" t="s">
        <v>54</v>
      </c>
      <c r="K653" t="s">
        <v>84</v>
      </c>
      <c r="L653" t="s">
        <v>85</v>
      </c>
      <c r="M653" t="s">
        <v>28</v>
      </c>
      <c r="N653" t="s">
        <v>29</v>
      </c>
      <c r="O653" t="s">
        <v>2041</v>
      </c>
      <c r="P653" t="s">
        <v>31</v>
      </c>
      <c r="Q653">
        <v>3</v>
      </c>
      <c r="R653">
        <v>598.54999999999995</v>
      </c>
      <c r="S653">
        <v>0</v>
      </c>
      <c r="T653" s="12">
        <f>S653</f>
        <v>0</v>
      </c>
      <c r="U653">
        <v>1795.65</v>
      </c>
      <c r="V653">
        <f>Q653*R653*(1-S653)</f>
        <v>1795.6499999999999</v>
      </c>
      <c r="W653">
        <v>996.72</v>
      </c>
      <c r="X653">
        <v>798.93</v>
      </c>
      <c r="Y653">
        <f>V653-W653</f>
        <v>798.92999999999984</v>
      </c>
      <c r="Z653" s="12">
        <f>Y653/V653</f>
        <v>0.44492523598696843</v>
      </c>
      <c r="AA653" t="s">
        <v>32</v>
      </c>
      <c r="AB653" t="s">
        <v>33</v>
      </c>
      <c r="AC653" s="14" t="s">
        <v>2794</v>
      </c>
      <c r="AD653" t="s">
        <v>2782</v>
      </c>
      <c r="AE653" t="str">
        <f>PROPER(TRIM(AB653))</f>
        <v>Completed</v>
      </c>
      <c r="AS653" t="str">
        <f t="shared" si="12"/>
        <v/>
      </c>
    </row>
    <row r="654" spans="1:45">
      <c r="A654" t="s">
        <v>2042</v>
      </c>
      <c r="B654" s="7">
        <v>45733</v>
      </c>
      <c r="C654" s="4">
        <v>45737</v>
      </c>
      <c r="D654">
        <f>C654-B654</f>
        <v>4</v>
      </c>
      <c r="E654" t="str">
        <f>TEXT(B654,"mmmm")</f>
        <v>March</v>
      </c>
      <c r="F654">
        <f>YEAR(B654)</f>
        <v>2025</v>
      </c>
      <c r="G654" t="s">
        <v>1686</v>
      </c>
      <c r="H654" t="s">
        <v>132</v>
      </c>
      <c r="I654" t="s">
        <v>24</v>
      </c>
      <c r="J654" t="s">
        <v>25</v>
      </c>
      <c r="K654" t="s">
        <v>136</v>
      </c>
      <c r="L654" t="s">
        <v>137</v>
      </c>
      <c r="M654" t="s">
        <v>28</v>
      </c>
      <c r="N654" t="s">
        <v>153</v>
      </c>
      <c r="O654" t="s">
        <v>2043</v>
      </c>
      <c r="P654" t="s">
        <v>59</v>
      </c>
      <c r="Q654">
        <v>5</v>
      </c>
      <c r="R654">
        <v>4320.59</v>
      </c>
      <c r="S654">
        <v>0.15</v>
      </c>
      <c r="T654" s="12">
        <f>S654</f>
        <v>0.15</v>
      </c>
      <c r="U654">
        <v>18362.509999999998</v>
      </c>
      <c r="V654">
        <f>Q654*R654*(1-S654)</f>
        <v>18362.5075</v>
      </c>
      <c r="W654">
        <v>11133.97</v>
      </c>
      <c r="X654">
        <v>7228.54</v>
      </c>
      <c r="Y654">
        <f>V654-W654</f>
        <v>7228.5375000000004</v>
      </c>
      <c r="Z654" s="12">
        <f>Y654/V654</f>
        <v>0.39365742941153326</v>
      </c>
      <c r="AA654" t="s">
        <v>32</v>
      </c>
      <c r="AB654" t="s">
        <v>33</v>
      </c>
      <c r="AC654" s="14" t="s">
        <v>2794</v>
      </c>
      <c r="AD654" t="s">
        <v>2782</v>
      </c>
      <c r="AE654" t="str">
        <f>PROPER(TRIM(AB654))</f>
        <v>Completed</v>
      </c>
      <c r="AS654" t="str">
        <f t="shared" si="12"/>
        <v/>
      </c>
    </row>
    <row r="655" spans="1:45">
      <c r="A655" t="s">
        <v>2044</v>
      </c>
      <c r="B655" s="7">
        <v>45751</v>
      </c>
      <c r="C655" s="4">
        <v>45842</v>
      </c>
      <c r="D655">
        <f>C655-B655</f>
        <v>91</v>
      </c>
      <c r="E655" t="str">
        <f>TEXT(B655,"mmmm")</f>
        <v>April</v>
      </c>
      <c r="F655">
        <f>YEAR(B655)</f>
        <v>2025</v>
      </c>
      <c r="G655" t="s">
        <v>2045</v>
      </c>
      <c r="H655" t="s">
        <v>114</v>
      </c>
      <c r="I655" t="s">
        <v>37</v>
      </c>
      <c r="J655" t="s">
        <v>54</v>
      </c>
      <c r="K655" t="s">
        <v>247</v>
      </c>
      <c r="L655" t="s">
        <v>248</v>
      </c>
      <c r="M655" t="s">
        <v>74</v>
      </c>
      <c r="N655" t="s">
        <v>80</v>
      </c>
      <c r="O655" t="s">
        <v>2046</v>
      </c>
      <c r="P655" t="s">
        <v>31</v>
      </c>
      <c r="Q655">
        <v>7</v>
      </c>
      <c r="R655">
        <v>4457.93</v>
      </c>
      <c r="S655">
        <v>0.15</v>
      </c>
      <c r="T655" s="12">
        <f>S655</f>
        <v>0.15</v>
      </c>
      <c r="U655">
        <v>26524.68</v>
      </c>
      <c r="V655">
        <f>Q655*R655*(1-S655)</f>
        <v>26524.683500000003</v>
      </c>
      <c r="W655">
        <v>20574.3</v>
      </c>
      <c r="X655">
        <v>5950.38</v>
      </c>
      <c r="Y655">
        <f>V655-W655</f>
        <v>5950.3835000000036</v>
      </c>
      <c r="Z655" s="12">
        <f>Y655/V655</f>
        <v>0.22433381721595294</v>
      </c>
      <c r="AA655" t="s">
        <v>32</v>
      </c>
      <c r="AB655" t="s">
        <v>33</v>
      </c>
      <c r="AC655" s="14" t="s">
        <v>2794</v>
      </c>
      <c r="AD655" t="s">
        <v>2782</v>
      </c>
      <c r="AE655" t="str">
        <f>PROPER(TRIM(AB655))</f>
        <v>Completed</v>
      </c>
      <c r="AS655" t="str">
        <f t="shared" si="12"/>
        <v/>
      </c>
    </row>
    <row r="656" spans="1:45">
      <c r="A656" t="s">
        <v>2047</v>
      </c>
      <c r="B656" s="7">
        <v>46001</v>
      </c>
      <c r="C656" s="4">
        <v>45946</v>
      </c>
      <c r="D656" s="10">
        <f>C656-B656</f>
        <v>-55</v>
      </c>
      <c r="E656" t="str">
        <f>TEXT(B656,"mmmm")</f>
        <v>December</v>
      </c>
      <c r="F656">
        <f>YEAR(B656)</f>
        <v>2025</v>
      </c>
      <c r="G656" t="s">
        <v>925</v>
      </c>
      <c r="H656" t="s">
        <v>162</v>
      </c>
      <c r="I656" t="s">
        <v>90</v>
      </c>
      <c r="J656" t="s">
        <v>38</v>
      </c>
      <c r="K656" t="s">
        <v>145</v>
      </c>
      <c r="L656" t="s">
        <v>146</v>
      </c>
      <c r="M656" t="s">
        <v>74</v>
      </c>
      <c r="N656" t="s">
        <v>274</v>
      </c>
      <c r="O656" t="s">
        <v>2048</v>
      </c>
      <c r="P656" t="s">
        <v>44</v>
      </c>
      <c r="Q656">
        <v>1</v>
      </c>
      <c r="R656">
        <v>2570.06</v>
      </c>
      <c r="S656">
        <v>0.2</v>
      </c>
      <c r="T656" s="12">
        <f>S656</f>
        <v>0.2</v>
      </c>
      <c r="U656">
        <v>2056.0500000000002</v>
      </c>
      <c r="V656">
        <f>Q656*R656*(1-S656)</f>
        <v>2056.0480000000002</v>
      </c>
      <c r="W656">
        <v>1662.39</v>
      </c>
      <c r="X656">
        <v>393.66</v>
      </c>
      <c r="Y656">
        <f>V656-W656</f>
        <v>393.65800000000013</v>
      </c>
      <c r="Z656" s="12">
        <f>Y656/V656</f>
        <v>0.19146342886936496</v>
      </c>
      <c r="AA656" t="s">
        <v>32</v>
      </c>
      <c r="AB656" t="s">
        <v>33</v>
      </c>
      <c r="AC656" s="10" t="s">
        <v>2792</v>
      </c>
      <c r="AD656" t="s">
        <v>2782</v>
      </c>
      <c r="AE656" t="str">
        <f>PROPER(TRIM(AB656))</f>
        <v>Completed</v>
      </c>
      <c r="AS656" t="str">
        <f t="shared" si="12"/>
        <v/>
      </c>
    </row>
    <row r="657" spans="1:45">
      <c r="A657" t="s">
        <v>2049</v>
      </c>
      <c r="B657" s="7">
        <v>45895</v>
      </c>
      <c r="C657" s="4">
        <v>45895</v>
      </c>
      <c r="D657">
        <f>C657-B657</f>
        <v>0</v>
      </c>
      <c r="E657" t="str">
        <f>TEXT(B657,"mmmm")</f>
        <v>August</v>
      </c>
      <c r="F657">
        <f>YEAR(B657)</f>
        <v>2025</v>
      </c>
      <c r="G657" t="s">
        <v>2050</v>
      </c>
      <c r="H657" t="s">
        <v>79</v>
      </c>
      <c r="I657" t="s">
        <v>95</v>
      </c>
      <c r="J657" t="s">
        <v>38</v>
      </c>
      <c r="K657" t="s">
        <v>99</v>
      </c>
      <c r="L657" t="s">
        <v>100</v>
      </c>
      <c r="M657" t="s">
        <v>41</v>
      </c>
      <c r="N657" t="s">
        <v>57</v>
      </c>
      <c r="O657" t="s">
        <v>2051</v>
      </c>
      <c r="P657" t="s">
        <v>59</v>
      </c>
      <c r="Q657">
        <v>4</v>
      </c>
      <c r="R657">
        <v>2151.8200000000002</v>
      </c>
      <c r="S657">
        <v>0</v>
      </c>
      <c r="T657" s="12">
        <f>S657</f>
        <v>0</v>
      </c>
      <c r="U657">
        <v>8607.2800000000007</v>
      </c>
      <c r="V657">
        <f>Q657*R657*(1-S657)</f>
        <v>8607.2800000000007</v>
      </c>
      <c r="W657">
        <v>5124.01</v>
      </c>
      <c r="X657">
        <v>3483.27</v>
      </c>
      <c r="Y657">
        <f>V657-W657</f>
        <v>3483.2700000000004</v>
      </c>
      <c r="Z657" s="12">
        <f>Y657/V657</f>
        <v>0.40468882155570635</v>
      </c>
      <c r="AA657" t="s">
        <v>32</v>
      </c>
      <c r="AB657" t="s">
        <v>33</v>
      </c>
      <c r="AC657" s="14" t="s">
        <v>2794</v>
      </c>
      <c r="AD657" t="s">
        <v>2782</v>
      </c>
      <c r="AE657" t="str">
        <f>PROPER(TRIM(AB657))</f>
        <v>Completed</v>
      </c>
      <c r="AS657" t="str">
        <f t="shared" si="12"/>
        <v/>
      </c>
    </row>
    <row r="658" spans="1:45">
      <c r="A658" t="s">
        <v>2052</v>
      </c>
      <c r="B658" s="7">
        <v>45419</v>
      </c>
      <c r="C658" s="4">
        <v>45426</v>
      </c>
      <c r="D658">
        <f>C658-B658</f>
        <v>7</v>
      </c>
      <c r="E658" t="str">
        <f>TEXT(B658,"mmmm")</f>
        <v>May</v>
      </c>
      <c r="F658">
        <f>YEAR(B658)</f>
        <v>2024</v>
      </c>
      <c r="G658" t="s">
        <v>2053</v>
      </c>
      <c r="H658" t="s">
        <v>79</v>
      </c>
      <c r="I658" t="s">
        <v>37</v>
      </c>
      <c r="J658" t="s">
        <v>25</v>
      </c>
      <c r="K658" t="s">
        <v>236</v>
      </c>
      <c r="L658" t="s">
        <v>237</v>
      </c>
      <c r="M658" t="s">
        <v>74</v>
      </c>
      <c r="N658" t="s">
        <v>274</v>
      </c>
      <c r="O658" t="s">
        <v>2054</v>
      </c>
      <c r="P658" t="s">
        <v>44</v>
      </c>
      <c r="Q658">
        <v>4</v>
      </c>
      <c r="R658">
        <v>2751.1</v>
      </c>
      <c r="S658">
        <v>-0.05</v>
      </c>
      <c r="T658" s="13">
        <f>S658</f>
        <v>-0.05</v>
      </c>
      <c r="U658">
        <v>9903.9599999999991</v>
      </c>
      <c r="V658">
        <f>Q658*R658*(1-S658)</f>
        <v>11554.62</v>
      </c>
      <c r="W658">
        <v>7696.28</v>
      </c>
      <c r="X658">
        <v>2207.6799999999998</v>
      </c>
      <c r="Y658">
        <f>V658-W658</f>
        <v>3858.3400000000011</v>
      </c>
      <c r="Z658" s="12">
        <f>Y658/V658</f>
        <v>0.33392184251840396</v>
      </c>
      <c r="AA658" t="s">
        <v>32</v>
      </c>
      <c r="AB658" t="s">
        <v>33</v>
      </c>
      <c r="AC658" s="10" t="s">
        <v>2793</v>
      </c>
      <c r="AD658" t="s">
        <v>2782</v>
      </c>
      <c r="AE658" t="str">
        <f>PROPER(TRIM(AB658))</f>
        <v>Completed</v>
      </c>
      <c r="AS658" t="str">
        <f t="shared" si="12"/>
        <v/>
      </c>
    </row>
    <row r="659" spans="1:45">
      <c r="A659" t="s">
        <v>2055</v>
      </c>
      <c r="B659" s="7">
        <v>45846</v>
      </c>
      <c r="C659" s="4">
        <v>45879</v>
      </c>
      <c r="D659">
        <f>C659-B659</f>
        <v>33</v>
      </c>
      <c r="E659" t="str">
        <f>TEXT(B659,"mmmm")</f>
        <v>July</v>
      </c>
      <c r="F659">
        <f>YEAR(B659)</f>
        <v>2025</v>
      </c>
      <c r="G659" t="s">
        <v>2056</v>
      </c>
      <c r="H659" t="s">
        <v>89</v>
      </c>
      <c r="I659" t="s">
        <v>95</v>
      </c>
      <c r="J659" t="s">
        <v>38</v>
      </c>
      <c r="K659" t="s">
        <v>145</v>
      </c>
      <c r="L659" t="s">
        <v>146</v>
      </c>
      <c r="M659" t="s">
        <v>28</v>
      </c>
      <c r="N659" t="s">
        <v>124</v>
      </c>
      <c r="O659" t="s">
        <v>2057</v>
      </c>
      <c r="P659" t="s">
        <v>31</v>
      </c>
      <c r="Q659">
        <v>1</v>
      </c>
      <c r="R659">
        <v>2541.25</v>
      </c>
      <c r="S659">
        <v>0.2</v>
      </c>
      <c r="T659" s="12">
        <f>S659</f>
        <v>0.2</v>
      </c>
      <c r="U659">
        <v>2033</v>
      </c>
      <c r="V659">
        <f>Q659*R659*(1-S659)</f>
        <v>2033</v>
      </c>
      <c r="W659">
        <v>1291.4100000000001</v>
      </c>
      <c r="X659">
        <v>741.59</v>
      </c>
      <c r="Y659">
        <f>V659-W659</f>
        <v>741.58999999999992</v>
      </c>
      <c r="Z659" s="12">
        <f>Y659/V659</f>
        <v>0.36477619281849477</v>
      </c>
      <c r="AA659" t="s">
        <v>32</v>
      </c>
      <c r="AB659" t="s">
        <v>33</v>
      </c>
      <c r="AC659" s="14" t="s">
        <v>2794</v>
      </c>
      <c r="AD659" t="s">
        <v>2782</v>
      </c>
      <c r="AE659" t="str">
        <f>PROPER(TRIM(AB659))</f>
        <v>Completed</v>
      </c>
      <c r="AS659" t="str">
        <f t="shared" si="12"/>
        <v/>
      </c>
    </row>
    <row r="660" spans="1:45">
      <c r="A660" t="s">
        <v>2058</v>
      </c>
      <c r="B660" s="7">
        <v>45817</v>
      </c>
      <c r="C660" s="4">
        <v>45997</v>
      </c>
      <c r="D660">
        <f>C660-B660</f>
        <v>180</v>
      </c>
      <c r="E660" t="str">
        <f>TEXT(B660,"mmmm")</f>
        <v>June</v>
      </c>
      <c r="F660">
        <f>YEAR(B660)</f>
        <v>2025</v>
      </c>
      <c r="G660" t="s">
        <v>2059</v>
      </c>
      <c r="H660" t="s">
        <v>132</v>
      </c>
      <c r="I660" t="s">
        <v>24</v>
      </c>
      <c r="J660" t="s">
        <v>2783</v>
      </c>
      <c r="K660" t="s">
        <v>145</v>
      </c>
      <c r="L660" t="s">
        <v>146</v>
      </c>
      <c r="M660" t="s">
        <v>28</v>
      </c>
      <c r="N660" t="s">
        <v>48</v>
      </c>
      <c r="O660" t="s">
        <v>2060</v>
      </c>
      <c r="P660" t="s">
        <v>50</v>
      </c>
      <c r="Q660">
        <v>7</v>
      </c>
      <c r="R660">
        <v>2852.42</v>
      </c>
      <c r="S660">
        <v>0</v>
      </c>
      <c r="T660" s="12">
        <f>S660</f>
        <v>0</v>
      </c>
      <c r="U660">
        <v>19966.939999999999</v>
      </c>
      <c r="V660">
        <f>Q660*R660*(1-S660)</f>
        <v>19966.940000000002</v>
      </c>
      <c r="W660">
        <v>12690.83</v>
      </c>
      <c r="X660">
        <v>7276.11</v>
      </c>
      <c r="Y660">
        <f>V660-W660</f>
        <v>7276.1100000000024</v>
      </c>
      <c r="Z660" s="12">
        <f>Y660/V660</f>
        <v>0.36440786620283339</v>
      </c>
      <c r="AA660" t="s">
        <v>102</v>
      </c>
      <c r="AB660" t="s">
        <v>68</v>
      </c>
      <c r="AC660" s="10" t="s">
        <v>2796</v>
      </c>
      <c r="AD660" t="s">
        <v>2782</v>
      </c>
      <c r="AE660" t="str">
        <f>PROPER(TRIM(AB660))</f>
        <v>Cancelled</v>
      </c>
      <c r="AS660" t="str">
        <f t="shared" si="12"/>
        <v/>
      </c>
    </row>
    <row r="661" spans="1:45">
      <c r="A661" t="s">
        <v>2061</v>
      </c>
      <c r="B661" s="7">
        <v>45678</v>
      </c>
      <c r="C661" s="4">
        <v>45679</v>
      </c>
      <c r="D661">
        <f>C661-B661</f>
        <v>1</v>
      </c>
      <c r="E661" t="str">
        <f>TEXT(B661,"mmmm")</f>
        <v>January</v>
      </c>
      <c r="F661">
        <f>YEAR(B661)</f>
        <v>2025</v>
      </c>
      <c r="G661" t="s">
        <v>2062</v>
      </c>
      <c r="H661" t="s">
        <v>162</v>
      </c>
      <c r="I661" t="s">
        <v>90</v>
      </c>
      <c r="J661" t="s">
        <v>54</v>
      </c>
      <c r="K661" t="s">
        <v>175</v>
      </c>
      <c r="L661" t="s">
        <v>176</v>
      </c>
      <c r="M661" t="s">
        <v>74</v>
      </c>
      <c r="N661" t="s">
        <v>171</v>
      </c>
      <c r="O661" t="s">
        <v>2063</v>
      </c>
      <c r="P661" t="s">
        <v>31</v>
      </c>
      <c r="Q661">
        <v>2</v>
      </c>
      <c r="R661">
        <v>444.31</v>
      </c>
      <c r="S661">
        <v>0.2</v>
      </c>
      <c r="T661" s="12">
        <f>S661</f>
        <v>0.2</v>
      </c>
      <c r="U661">
        <v>710.9</v>
      </c>
      <c r="V661">
        <f>Q661*R661*(1-S661)</f>
        <v>710.89600000000007</v>
      </c>
      <c r="W661">
        <v>513.88</v>
      </c>
      <c r="X661">
        <v>197.02</v>
      </c>
      <c r="Y661">
        <f>V661-W661</f>
        <v>197.01600000000008</v>
      </c>
      <c r="Z661" s="12">
        <f>Y661/V661</f>
        <v>0.27713758411919615</v>
      </c>
      <c r="AA661" t="s">
        <v>102</v>
      </c>
      <c r="AB661" t="s">
        <v>68</v>
      </c>
      <c r="AC661" s="14" t="s">
        <v>2794</v>
      </c>
      <c r="AD661" t="s">
        <v>2782</v>
      </c>
      <c r="AE661" t="str">
        <f>PROPER(TRIM(AB661))</f>
        <v>Cancelled</v>
      </c>
      <c r="AS661" t="str">
        <f t="shared" si="12"/>
        <v/>
      </c>
    </row>
    <row r="662" spans="1:45">
      <c r="A662" t="s">
        <v>2064</v>
      </c>
      <c r="B662" s="7">
        <v>45853</v>
      </c>
      <c r="C662" s="4">
        <v>45853</v>
      </c>
      <c r="D662">
        <f>C662-B662</f>
        <v>0</v>
      </c>
      <c r="E662" t="str">
        <f>TEXT(B662,"mmmm")</f>
        <v>July</v>
      </c>
      <c r="F662">
        <f>YEAR(B662)</f>
        <v>2025</v>
      </c>
      <c r="G662" t="s">
        <v>2065</v>
      </c>
      <c r="H662" t="s">
        <v>53</v>
      </c>
      <c r="I662" t="s">
        <v>37</v>
      </c>
      <c r="J662" t="s">
        <v>38</v>
      </c>
      <c r="K662" t="s">
        <v>228</v>
      </c>
      <c r="L662" t="s">
        <v>229</v>
      </c>
      <c r="M662" t="s">
        <v>74</v>
      </c>
      <c r="N662" t="s">
        <v>171</v>
      </c>
      <c r="O662" t="s">
        <v>2066</v>
      </c>
      <c r="P662" t="s">
        <v>44</v>
      </c>
      <c r="Q662">
        <v>4</v>
      </c>
      <c r="R662">
        <v>4442.91</v>
      </c>
      <c r="S662">
        <v>0.1</v>
      </c>
      <c r="T662" s="12">
        <f>S662</f>
        <v>0.1</v>
      </c>
      <c r="U662">
        <v>15994.48</v>
      </c>
      <c r="V662">
        <f>Q662*R662*(1-S662)</f>
        <v>15994.476000000001</v>
      </c>
      <c r="W662">
        <v>9224.2800000000007</v>
      </c>
      <c r="X662">
        <v>6770.2</v>
      </c>
      <c r="Y662">
        <f>V662-W662</f>
        <v>6770.1959999999999</v>
      </c>
      <c r="Z662" s="12">
        <f>Y662/V662</f>
        <v>0.42328338858991066</v>
      </c>
      <c r="AA662" t="s">
        <v>32</v>
      </c>
      <c r="AB662" t="s">
        <v>33</v>
      </c>
      <c r="AC662" s="14" t="s">
        <v>2794</v>
      </c>
      <c r="AD662" t="s">
        <v>2782</v>
      </c>
      <c r="AE662" t="str">
        <f>PROPER(TRIM(AB662))</f>
        <v>Completed</v>
      </c>
      <c r="AS662" t="str">
        <f t="shared" si="12"/>
        <v/>
      </c>
    </row>
    <row r="663" spans="1:45">
      <c r="A663" t="s">
        <v>2067</v>
      </c>
      <c r="B663" s="7">
        <v>45429</v>
      </c>
      <c r="C663" s="4">
        <v>45434</v>
      </c>
      <c r="D663">
        <f>C663-B663</f>
        <v>5</v>
      </c>
      <c r="E663" t="str">
        <f>TEXT(B663,"mmmm")</f>
        <v>May</v>
      </c>
      <c r="F663">
        <f>YEAR(B663)</f>
        <v>2024</v>
      </c>
      <c r="G663" t="s">
        <v>2068</v>
      </c>
      <c r="H663" t="s">
        <v>132</v>
      </c>
      <c r="I663" t="s">
        <v>24</v>
      </c>
      <c r="J663" t="s">
        <v>54</v>
      </c>
      <c r="K663" t="s">
        <v>84</v>
      </c>
      <c r="L663" t="s">
        <v>85</v>
      </c>
      <c r="M663" t="s">
        <v>74</v>
      </c>
      <c r="N663" t="s">
        <v>274</v>
      </c>
      <c r="O663" t="s">
        <v>2069</v>
      </c>
      <c r="P663" t="s">
        <v>31</v>
      </c>
      <c r="Q663">
        <v>7</v>
      </c>
      <c r="R663">
        <v>232.5</v>
      </c>
      <c r="S663">
        <v>0</v>
      </c>
      <c r="T663" s="12">
        <f>S663</f>
        <v>0</v>
      </c>
      <c r="U663">
        <v>1627.5</v>
      </c>
      <c r="V663">
        <f>Q663*R663*(1-S663)</f>
        <v>1627.5</v>
      </c>
      <c r="W663">
        <v>939.9</v>
      </c>
      <c r="X663">
        <v>687.6</v>
      </c>
      <c r="Y663">
        <f>V663-W663</f>
        <v>687.6</v>
      </c>
      <c r="Z663" s="12">
        <f>Y663/V663</f>
        <v>0.4224884792626728</v>
      </c>
      <c r="AA663" t="s">
        <v>32</v>
      </c>
      <c r="AB663" t="s">
        <v>33</v>
      </c>
      <c r="AC663" s="14" t="s">
        <v>2794</v>
      </c>
      <c r="AD663" t="s">
        <v>2782</v>
      </c>
      <c r="AE663" t="str">
        <f>PROPER(TRIM(AB663))</f>
        <v>Completed</v>
      </c>
      <c r="AS663" t="str">
        <f t="shared" si="12"/>
        <v/>
      </c>
    </row>
    <row r="664" spans="1:45">
      <c r="A664" t="s">
        <v>2070</v>
      </c>
      <c r="B664" s="7">
        <v>45305</v>
      </c>
      <c r="C664" s="4">
        <v>45309</v>
      </c>
      <c r="D664">
        <f>C664-B664</f>
        <v>4</v>
      </c>
      <c r="E664" t="str">
        <f>TEXT(B664,"mmmm")</f>
        <v>January</v>
      </c>
      <c r="F664">
        <f>YEAR(B664)</f>
        <v>2024</v>
      </c>
      <c r="G664" t="s">
        <v>2071</v>
      </c>
      <c r="H664" t="s">
        <v>36</v>
      </c>
      <c r="I664" t="s">
        <v>95</v>
      </c>
      <c r="J664" t="s">
        <v>63</v>
      </c>
      <c r="K664" t="s">
        <v>26</v>
      </c>
      <c r="L664" t="s">
        <v>109</v>
      </c>
      <c r="M664" t="s">
        <v>74</v>
      </c>
      <c r="N664" t="s">
        <v>274</v>
      </c>
      <c r="O664" t="s">
        <v>2072</v>
      </c>
      <c r="P664" t="s">
        <v>44</v>
      </c>
      <c r="Q664">
        <v>6</v>
      </c>
      <c r="R664">
        <v>1784.8</v>
      </c>
      <c r="S664">
        <v>0.1</v>
      </c>
      <c r="T664" s="12">
        <f>S664</f>
        <v>0.1</v>
      </c>
      <c r="U664">
        <v>9637.92</v>
      </c>
      <c r="V664">
        <f>Q664*R664*(1-S664)</f>
        <v>9637.92</v>
      </c>
      <c r="W664">
        <v>7329.29</v>
      </c>
      <c r="X664">
        <v>2308.63</v>
      </c>
      <c r="Y664">
        <f>V664-W664</f>
        <v>2308.63</v>
      </c>
      <c r="Z664" s="12">
        <f>Y664/V664</f>
        <v>0.2395361239769577</v>
      </c>
      <c r="AA664" t="s">
        <v>32</v>
      </c>
      <c r="AB664" t="s">
        <v>33</v>
      </c>
      <c r="AC664" s="14" t="s">
        <v>2794</v>
      </c>
      <c r="AD664" t="s">
        <v>2782</v>
      </c>
      <c r="AE664" t="str">
        <f>PROPER(TRIM(AB664))</f>
        <v>Completed</v>
      </c>
      <c r="AS664" t="str">
        <f t="shared" si="12"/>
        <v/>
      </c>
    </row>
    <row r="665" spans="1:45">
      <c r="A665" t="s">
        <v>2073</v>
      </c>
      <c r="B665" s="7">
        <v>45327</v>
      </c>
      <c r="C665" s="4">
        <v>45420</v>
      </c>
      <c r="D665">
        <f>C665-B665</f>
        <v>93</v>
      </c>
      <c r="E665" t="str">
        <f>TEXT(B665,"mmmm")</f>
        <v>February</v>
      </c>
      <c r="F665">
        <f>YEAR(B665)</f>
        <v>2024</v>
      </c>
      <c r="G665" t="s">
        <v>2074</v>
      </c>
      <c r="H665" t="s">
        <v>118</v>
      </c>
      <c r="I665" t="s">
        <v>95</v>
      </c>
      <c r="J665" t="s">
        <v>38</v>
      </c>
      <c r="K665" t="s">
        <v>228</v>
      </c>
      <c r="L665" t="s">
        <v>229</v>
      </c>
      <c r="M665" t="s">
        <v>74</v>
      </c>
      <c r="N665" t="s">
        <v>80</v>
      </c>
      <c r="O665" t="s">
        <v>2075</v>
      </c>
      <c r="P665" t="s">
        <v>31</v>
      </c>
      <c r="Q665">
        <v>2</v>
      </c>
      <c r="R665">
        <v>3185.01</v>
      </c>
      <c r="S665">
        <v>-0.24</v>
      </c>
      <c r="T665" s="13">
        <f>S665</f>
        <v>-0.24</v>
      </c>
      <c r="U665">
        <v>4777.5200000000004</v>
      </c>
      <c r="V665">
        <f>Q665*R665*(1-S665)</f>
        <v>7898.8248000000003</v>
      </c>
      <c r="W665">
        <v>3152.98</v>
      </c>
      <c r="X665">
        <v>1624.54</v>
      </c>
      <c r="Y665">
        <f>V665-W665</f>
        <v>4745.8448000000008</v>
      </c>
      <c r="Z665" s="12">
        <f>Y665/V665</f>
        <v>0.60082922715287979</v>
      </c>
      <c r="AA665" t="s">
        <v>32</v>
      </c>
      <c r="AB665" t="s">
        <v>33</v>
      </c>
      <c r="AC665" s="10" t="s">
        <v>2793</v>
      </c>
      <c r="AD665" t="s">
        <v>2782</v>
      </c>
      <c r="AE665" t="str">
        <f>PROPER(TRIM(AB665))</f>
        <v>Completed</v>
      </c>
      <c r="AS665" t="str">
        <f t="shared" si="12"/>
        <v/>
      </c>
    </row>
    <row r="666" spans="1:45">
      <c r="A666" t="s">
        <v>2076</v>
      </c>
      <c r="B666" s="7">
        <v>45633</v>
      </c>
      <c r="C666" s="4">
        <v>45636</v>
      </c>
      <c r="D666">
        <f>C666-B666</f>
        <v>3</v>
      </c>
      <c r="E666" t="str">
        <f>TEXT(B666,"mmmm")</f>
        <v>December</v>
      </c>
      <c r="F666">
        <f>YEAR(B666)</f>
        <v>2024</v>
      </c>
      <c r="G666" t="s">
        <v>2077</v>
      </c>
      <c r="H666" t="s">
        <v>36</v>
      </c>
      <c r="I666" t="s">
        <v>95</v>
      </c>
      <c r="J666" t="s">
        <v>54</v>
      </c>
      <c r="K666" t="s">
        <v>55</v>
      </c>
      <c r="L666" t="s">
        <v>56</v>
      </c>
      <c r="M666" t="s">
        <v>74</v>
      </c>
      <c r="N666" t="s">
        <v>75</v>
      </c>
      <c r="O666" t="s">
        <v>2078</v>
      </c>
      <c r="P666" t="s">
        <v>59</v>
      </c>
      <c r="Q666">
        <v>1</v>
      </c>
      <c r="R666">
        <v>1908.83</v>
      </c>
      <c r="S666">
        <v>0.2</v>
      </c>
      <c r="T666" s="12">
        <f>S666</f>
        <v>0.2</v>
      </c>
      <c r="U666">
        <v>1527.06</v>
      </c>
      <c r="V666">
        <f>Q666*R666*(1-S666)</f>
        <v>1527.0640000000001</v>
      </c>
      <c r="W666">
        <v>1055.8900000000001</v>
      </c>
      <c r="X666">
        <v>471.17</v>
      </c>
      <c r="Y666">
        <f>V666-W666</f>
        <v>471.17399999999998</v>
      </c>
      <c r="Z666" s="12">
        <f>Y666/V666</f>
        <v>0.30854895407134209</v>
      </c>
      <c r="AA666" t="s">
        <v>32</v>
      </c>
      <c r="AB666" t="s">
        <v>33</v>
      </c>
      <c r="AC666" s="14" t="s">
        <v>2794</v>
      </c>
      <c r="AD666" t="s">
        <v>2782</v>
      </c>
      <c r="AE666" t="str">
        <f>PROPER(TRIM(AB666))</f>
        <v>Completed</v>
      </c>
      <c r="AS666" t="str">
        <f t="shared" si="12"/>
        <v/>
      </c>
    </row>
    <row r="667" spans="1:45">
      <c r="A667" t="s">
        <v>2079</v>
      </c>
      <c r="B667" s="7">
        <v>45670</v>
      </c>
      <c r="C667" s="4">
        <v>45670</v>
      </c>
      <c r="D667">
        <f>C667-B667</f>
        <v>0</v>
      </c>
      <c r="E667" t="str">
        <f>TEXT(B667,"mmmm")</f>
        <v>January</v>
      </c>
      <c r="F667">
        <f>YEAR(B667)</f>
        <v>2025</v>
      </c>
      <c r="G667" t="s">
        <v>2080</v>
      </c>
      <c r="H667" t="s">
        <v>118</v>
      </c>
      <c r="I667" t="s">
        <v>95</v>
      </c>
      <c r="J667" t="s">
        <v>63</v>
      </c>
      <c r="K667" t="s">
        <v>180</v>
      </c>
      <c r="L667" t="s">
        <v>181</v>
      </c>
      <c r="M667" t="s">
        <v>28</v>
      </c>
      <c r="N667" t="s">
        <v>48</v>
      </c>
      <c r="O667" t="s">
        <v>2081</v>
      </c>
      <c r="P667" t="s">
        <v>59</v>
      </c>
      <c r="Q667">
        <v>3</v>
      </c>
      <c r="R667">
        <v>2110.52</v>
      </c>
      <c r="S667">
        <v>0.1</v>
      </c>
      <c r="T667" s="12">
        <f>S667</f>
        <v>0.1</v>
      </c>
      <c r="U667">
        <v>5698.4</v>
      </c>
      <c r="V667">
        <f>Q667*R667*(1-S667)</f>
        <v>5698.4039999999995</v>
      </c>
      <c r="W667">
        <v>3640.89</v>
      </c>
      <c r="X667">
        <v>2057.5100000000002</v>
      </c>
      <c r="Y667">
        <f>V667-W667</f>
        <v>2057.5139999999997</v>
      </c>
      <c r="Z667" s="12">
        <f>Y667/V667</f>
        <v>0.36106846759197836</v>
      </c>
      <c r="AA667" t="s">
        <v>155</v>
      </c>
      <c r="AB667" t="s">
        <v>68</v>
      </c>
      <c r="AC667" s="14" t="s">
        <v>2794</v>
      </c>
      <c r="AD667" t="s">
        <v>2782</v>
      </c>
      <c r="AE667" t="str">
        <f>PROPER(TRIM(AB667))</f>
        <v>Cancelled</v>
      </c>
      <c r="AS667" t="str">
        <f t="shared" si="12"/>
        <v/>
      </c>
    </row>
    <row r="668" spans="1:45">
      <c r="A668" t="s">
        <v>2082</v>
      </c>
      <c r="B668" s="7">
        <v>45464</v>
      </c>
      <c r="C668" s="4">
        <v>45469</v>
      </c>
      <c r="D668">
        <f>C668-B668</f>
        <v>5</v>
      </c>
      <c r="E668" t="str">
        <f>TEXT(B668,"mmmm")</f>
        <v>June</v>
      </c>
      <c r="F668">
        <f>YEAR(B668)</f>
        <v>2024</v>
      </c>
      <c r="G668" t="s">
        <v>2083</v>
      </c>
      <c r="H668" t="s">
        <v>141</v>
      </c>
      <c r="I668" t="s">
        <v>37</v>
      </c>
      <c r="J668" t="s">
        <v>25</v>
      </c>
      <c r="K668" t="s">
        <v>122</v>
      </c>
      <c r="L668" t="s">
        <v>123</v>
      </c>
      <c r="M668" t="s">
        <v>74</v>
      </c>
      <c r="N668" t="s">
        <v>80</v>
      </c>
      <c r="O668" t="s">
        <v>2084</v>
      </c>
      <c r="P668" t="s">
        <v>44</v>
      </c>
      <c r="Q668">
        <v>1</v>
      </c>
      <c r="R668">
        <v>279.83</v>
      </c>
      <c r="S668">
        <v>0.05</v>
      </c>
      <c r="T668" s="12">
        <f>S668</f>
        <v>0.05</v>
      </c>
      <c r="U668">
        <v>265.83999999999997</v>
      </c>
      <c r="V668">
        <f>Q668*R668*(1-S668)</f>
        <v>265.83849999999995</v>
      </c>
      <c r="W668">
        <v>223.49</v>
      </c>
      <c r="X668">
        <v>42.35</v>
      </c>
      <c r="Y668">
        <f>V668-W668</f>
        <v>42.348499999999945</v>
      </c>
      <c r="Z668" s="12">
        <f>Y668/V668</f>
        <v>0.15930160605028976</v>
      </c>
      <c r="AA668" t="s">
        <v>32</v>
      </c>
      <c r="AB668" t="s">
        <v>33</v>
      </c>
      <c r="AC668" s="14" t="s">
        <v>2794</v>
      </c>
      <c r="AD668" t="s">
        <v>2782</v>
      </c>
      <c r="AE668" t="str">
        <f>PROPER(TRIM(AB668))</f>
        <v>Completed</v>
      </c>
      <c r="AS668" t="str">
        <f t="shared" si="12"/>
        <v/>
      </c>
    </row>
    <row r="669" spans="1:45">
      <c r="A669" t="s">
        <v>2085</v>
      </c>
      <c r="B669" s="7">
        <v>45797</v>
      </c>
      <c r="C669" s="4">
        <v>45804</v>
      </c>
      <c r="D669">
        <f>C669-B669</f>
        <v>7</v>
      </c>
      <c r="E669" t="str">
        <f>TEXT(B669,"mmmm")</f>
        <v>May</v>
      </c>
      <c r="F669">
        <f>YEAR(B669)</f>
        <v>2025</v>
      </c>
      <c r="G669" t="s">
        <v>2086</v>
      </c>
      <c r="H669" t="s">
        <v>162</v>
      </c>
      <c r="I669" t="s">
        <v>37</v>
      </c>
      <c r="J669" t="s">
        <v>38</v>
      </c>
      <c r="K669" t="s">
        <v>145</v>
      </c>
      <c r="L669" t="s">
        <v>146</v>
      </c>
      <c r="M669" t="s">
        <v>74</v>
      </c>
      <c r="N669" t="s">
        <v>274</v>
      </c>
      <c r="O669" t="s">
        <v>2087</v>
      </c>
      <c r="P669" t="s">
        <v>59</v>
      </c>
      <c r="Q669">
        <v>1</v>
      </c>
      <c r="R669">
        <v>3959.14</v>
      </c>
      <c r="S669">
        <v>0</v>
      </c>
      <c r="T669" s="12">
        <f>S669</f>
        <v>0</v>
      </c>
      <c r="U669">
        <v>3959.14</v>
      </c>
      <c r="V669">
        <f>Q669*R669*(1-S669)</f>
        <v>3959.14</v>
      </c>
      <c r="W669">
        <v>3239.53</v>
      </c>
      <c r="X669">
        <v>719.61</v>
      </c>
      <c r="Y669">
        <f>V669-W669</f>
        <v>719.60999999999967</v>
      </c>
      <c r="Z669" s="12">
        <f>Y669/V669</f>
        <v>0.18175916992074029</v>
      </c>
      <c r="AA669" t="s">
        <v>111</v>
      </c>
      <c r="AB669" t="s">
        <v>103</v>
      </c>
      <c r="AC669" s="14" t="s">
        <v>2794</v>
      </c>
      <c r="AD669" t="s">
        <v>2782</v>
      </c>
      <c r="AE669" t="str">
        <f>PROPER(TRIM(AB669))</f>
        <v>Returned</v>
      </c>
      <c r="AS669" t="str">
        <f t="shared" si="12"/>
        <v/>
      </c>
    </row>
    <row r="670" spans="1:45">
      <c r="A670" t="s">
        <v>2088</v>
      </c>
      <c r="B670" s="7">
        <v>45617</v>
      </c>
      <c r="C670" s="4">
        <v>45619</v>
      </c>
      <c r="D670">
        <f>C670-B670</f>
        <v>2</v>
      </c>
      <c r="E670" t="str">
        <f>TEXT(B670,"mmmm")</f>
        <v>November</v>
      </c>
      <c r="F670">
        <f>YEAR(B670)</f>
        <v>2024</v>
      </c>
      <c r="G670" t="s">
        <v>2089</v>
      </c>
      <c r="H670" t="s">
        <v>36</v>
      </c>
      <c r="I670" t="s">
        <v>90</v>
      </c>
      <c r="J670" t="s">
        <v>63</v>
      </c>
      <c r="K670" t="s">
        <v>180</v>
      </c>
      <c r="L670" t="s">
        <v>181</v>
      </c>
      <c r="M670" t="s">
        <v>28</v>
      </c>
      <c r="N670" t="s">
        <v>29</v>
      </c>
      <c r="O670" t="s">
        <v>2090</v>
      </c>
      <c r="P670" t="s">
        <v>31</v>
      </c>
      <c r="Q670">
        <v>5</v>
      </c>
      <c r="R670">
        <v>600.46</v>
      </c>
      <c r="S670">
        <v>0.2</v>
      </c>
      <c r="T670" s="12">
        <f>S670</f>
        <v>0.2</v>
      </c>
      <c r="U670">
        <v>2401.84</v>
      </c>
      <c r="V670">
        <f>Q670*R670*(1-S670)</f>
        <v>2401.84</v>
      </c>
      <c r="W670">
        <v>1873.11</v>
      </c>
      <c r="X670">
        <v>528.73</v>
      </c>
      <c r="Y670">
        <f>V670-W670</f>
        <v>528.73000000000025</v>
      </c>
      <c r="Z670" s="12">
        <f>Y670/V670</f>
        <v>0.22013539619624964</v>
      </c>
      <c r="AA670" t="s">
        <v>32</v>
      </c>
      <c r="AB670" t="s">
        <v>33</v>
      </c>
      <c r="AC670" s="14" t="s">
        <v>2794</v>
      </c>
      <c r="AD670" t="s">
        <v>2782</v>
      </c>
      <c r="AE670" t="str">
        <f>PROPER(TRIM(AB670))</f>
        <v>Completed</v>
      </c>
      <c r="AS670" t="str">
        <f t="shared" si="12"/>
        <v/>
      </c>
    </row>
    <row r="671" spans="1:45">
      <c r="A671" t="s">
        <v>2091</v>
      </c>
      <c r="B671" s="7">
        <v>45375</v>
      </c>
      <c r="C671" s="4">
        <v>45383</v>
      </c>
      <c r="D671">
        <f>C671-B671</f>
        <v>8</v>
      </c>
      <c r="E671" t="str">
        <f>TEXT(B671,"mmmm")</f>
        <v>March</v>
      </c>
      <c r="F671">
        <f>YEAR(B671)</f>
        <v>2024</v>
      </c>
      <c r="G671" t="s">
        <v>2092</v>
      </c>
      <c r="H671" t="s">
        <v>62</v>
      </c>
      <c r="I671" t="s">
        <v>95</v>
      </c>
      <c r="J671" t="s">
        <v>63</v>
      </c>
      <c r="K671" t="s">
        <v>64</v>
      </c>
      <c r="L671" t="s">
        <v>65</v>
      </c>
      <c r="M671" t="s">
        <v>41</v>
      </c>
      <c r="N671" t="s">
        <v>42</v>
      </c>
      <c r="O671" t="s">
        <v>2093</v>
      </c>
      <c r="P671" t="s">
        <v>31</v>
      </c>
      <c r="Q671">
        <v>4</v>
      </c>
      <c r="R671">
        <v>1700.72</v>
      </c>
      <c r="S671">
        <v>0.25</v>
      </c>
      <c r="T671" s="12">
        <f>S671</f>
        <v>0.25</v>
      </c>
      <c r="U671">
        <v>5102.16</v>
      </c>
      <c r="V671">
        <f>Q671*R671*(1-S671)</f>
        <v>5102.16</v>
      </c>
      <c r="W671">
        <v>3226.45</v>
      </c>
      <c r="X671">
        <v>1875.71</v>
      </c>
      <c r="Y671">
        <f>V671-W671</f>
        <v>1875.71</v>
      </c>
      <c r="Z671" s="12">
        <f>Y671/V671</f>
        <v>0.36763057214983458</v>
      </c>
      <c r="AA671" t="s">
        <v>32</v>
      </c>
      <c r="AB671" t="s">
        <v>33</v>
      </c>
      <c r="AC671" s="14" t="s">
        <v>2794</v>
      </c>
      <c r="AD671" t="s">
        <v>2782</v>
      </c>
      <c r="AE671" t="str">
        <f>PROPER(TRIM(AB671))</f>
        <v>Completed</v>
      </c>
      <c r="AS671" t="str">
        <f t="shared" si="12"/>
        <v/>
      </c>
    </row>
    <row r="672" spans="1:45">
      <c r="A672" t="s">
        <v>2094</v>
      </c>
      <c r="B672" s="7">
        <v>45690</v>
      </c>
      <c r="C672" s="4">
        <v>45694</v>
      </c>
      <c r="D672">
        <f>C672-B672</f>
        <v>4</v>
      </c>
      <c r="E672" t="str">
        <f>TEXT(B672,"mmmm")</f>
        <v>February</v>
      </c>
      <c r="F672">
        <f>YEAR(B672)</f>
        <v>2025</v>
      </c>
      <c r="G672" t="s">
        <v>1596</v>
      </c>
      <c r="H672" t="s">
        <v>132</v>
      </c>
      <c r="I672" t="s">
        <v>90</v>
      </c>
      <c r="J672" t="s">
        <v>25</v>
      </c>
      <c r="K672" t="s">
        <v>136</v>
      </c>
      <c r="L672" t="s">
        <v>137</v>
      </c>
      <c r="M672" t="s">
        <v>41</v>
      </c>
      <c r="N672" t="s">
        <v>42</v>
      </c>
      <c r="O672" t="s">
        <v>2095</v>
      </c>
      <c r="P672" t="s">
        <v>59</v>
      </c>
      <c r="Q672">
        <v>8</v>
      </c>
      <c r="R672">
        <v>857.86</v>
      </c>
      <c r="S672">
        <v>0.1</v>
      </c>
      <c r="T672" s="12">
        <f>S672</f>
        <v>0.1</v>
      </c>
      <c r="U672">
        <v>6176.59</v>
      </c>
      <c r="V672">
        <f>Q672*R672*(1-S672)</f>
        <v>6176.5920000000006</v>
      </c>
      <c r="W672">
        <v>3560.96</v>
      </c>
      <c r="X672">
        <v>2615.63</v>
      </c>
      <c r="Y672">
        <f>V672-W672</f>
        <v>2615.6320000000005</v>
      </c>
      <c r="Z672" s="12">
        <f>Y672/V672</f>
        <v>0.42347495188285067</v>
      </c>
      <c r="AA672" t="s">
        <v>32</v>
      </c>
      <c r="AB672" t="s">
        <v>33</v>
      </c>
      <c r="AC672" s="14" t="s">
        <v>2794</v>
      </c>
      <c r="AD672" t="s">
        <v>2782</v>
      </c>
      <c r="AE672" t="str">
        <f>PROPER(TRIM(AB672))</f>
        <v>Completed</v>
      </c>
      <c r="AS672" t="str">
        <f t="shared" si="12"/>
        <v/>
      </c>
    </row>
    <row r="673" spans="1:45">
      <c r="A673" t="s">
        <v>2096</v>
      </c>
      <c r="B673" s="7">
        <v>45373</v>
      </c>
      <c r="C673" s="4">
        <v>45378</v>
      </c>
      <c r="D673">
        <f>C673-B673</f>
        <v>5</v>
      </c>
      <c r="E673" t="str">
        <f>TEXT(B673,"mmmm")</f>
        <v>March</v>
      </c>
      <c r="F673">
        <f>YEAR(B673)</f>
        <v>2024</v>
      </c>
      <c r="G673" t="s">
        <v>2097</v>
      </c>
      <c r="H673" t="s">
        <v>89</v>
      </c>
      <c r="I673" t="s">
        <v>95</v>
      </c>
      <c r="J673" t="s">
        <v>63</v>
      </c>
      <c r="K673" t="s">
        <v>190</v>
      </c>
      <c r="L673" t="s">
        <v>191</v>
      </c>
      <c r="M673" t="s">
        <v>74</v>
      </c>
      <c r="N673" t="s">
        <v>80</v>
      </c>
      <c r="O673" t="s">
        <v>2098</v>
      </c>
      <c r="P673" t="s">
        <v>31</v>
      </c>
      <c r="Q673">
        <v>9</v>
      </c>
      <c r="R673">
        <v>3649.51</v>
      </c>
      <c r="S673">
        <v>0.05</v>
      </c>
      <c r="T673" s="12">
        <f>S673</f>
        <v>0.05</v>
      </c>
      <c r="U673">
        <v>31203.31</v>
      </c>
      <c r="V673">
        <f>Q673*R673*(1-S673)</f>
        <v>31203.310500000003</v>
      </c>
      <c r="W673">
        <v>17738.13</v>
      </c>
      <c r="X673">
        <v>13465.18</v>
      </c>
      <c r="Y673">
        <f>V673-W673</f>
        <v>13465.180500000002</v>
      </c>
      <c r="Z673" s="12">
        <f>Y673/V673</f>
        <v>0.43153051020019179</v>
      </c>
      <c r="AA673" t="s">
        <v>32</v>
      </c>
      <c r="AB673" t="s">
        <v>33</v>
      </c>
      <c r="AC673" s="14" t="s">
        <v>2794</v>
      </c>
      <c r="AD673" t="s">
        <v>2782</v>
      </c>
      <c r="AE673" t="str">
        <f>PROPER(TRIM(AB673))</f>
        <v>Completed</v>
      </c>
      <c r="AS673" t="str">
        <f t="shared" si="12"/>
        <v/>
      </c>
    </row>
    <row r="674" spans="1:45">
      <c r="A674" t="s">
        <v>2099</v>
      </c>
      <c r="B674" s="7">
        <v>45539</v>
      </c>
      <c r="C674" s="4">
        <v>45540</v>
      </c>
      <c r="D674">
        <f>C674-B674</f>
        <v>1</v>
      </c>
      <c r="E674" t="str">
        <f>TEXT(B674,"mmmm")</f>
        <v>September</v>
      </c>
      <c r="F674">
        <f>YEAR(B674)</f>
        <v>2024</v>
      </c>
      <c r="G674" t="s">
        <v>2100</v>
      </c>
      <c r="H674" t="s">
        <v>89</v>
      </c>
      <c r="I674" t="s">
        <v>90</v>
      </c>
      <c r="J674" t="s">
        <v>63</v>
      </c>
      <c r="K674" t="s">
        <v>72</v>
      </c>
      <c r="L674" t="s">
        <v>73</v>
      </c>
      <c r="M674" t="s">
        <v>41</v>
      </c>
      <c r="N674" t="s">
        <v>66</v>
      </c>
      <c r="O674" t="s">
        <v>2101</v>
      </c>
      <c r="P674" t="s">
        <v>59</v>
      </c>
      <c r="Q674">
        <v>5</v>
      </c>
      <c r="R674">
        <v>2528.5300000000002</v>
      </c>
      <c r="S674">
        <v>0.05</v>
      </c>
      <c r="T674" s="12">
        <f>S674</f>
        <v>0.05</v>
      </c>
      <c r="U674">
        <v>12010.52</v>
      </c>
      <c r="V674">
        <f>Q674*R674*(1-S674)</f>
        <v>12010.5175</v>
      </c>
      <c r="W674">
        <v>7864.61</v>
      </c>
      <c r="X674">
        <v>4145.91</v>
      </c>
      <c r="Y674">
        <f>V674-W674</f>
        <v>4145.9075000000003</v>
      </c>
      <c r="Z674" s="12">
        <f>Y674/V674</f>
        <v>0.34518974723612039</v>
      </c>
      <c r="AA674" t="s">
        <v>32</v>
      </c>
      <c r="AB674" t="s">
        <v>103</v>
      </c>
      <c r="AC674" s="14" t="s">
        <v>2794</v>
      </c>
      <c r="AD674" t="s">
        <v>2782</v>
      </c>
      <c r="AE674" t="str">
        <f>PROPER(TRIM(AB674))</f>
        <v>Returned</v>
      </c>
      <c r="AS674" t="str">
        <f t="shared" si="12"/>
        <v/>
      </c>
    </row>
    <row r="675" spans="1:45">
      <c r="A675" t="s">
        <v>2102</v>
      </c>
      <c r="B675" s="7">
        <v>45701</v>
      </c>
      <c r="C675" s="4">
        <v>45704</v>
      </c>
      <c r="D675">
        <f>C675-B675</f>
        <v>3</v>
      </c>
      <c r="E675" t="str">
        <f>TEXT(B675,"mmmm")</f>
        <v>February</v>
      </c>
      <c r="F675">
        <f>YEAR(B675)</f>
        <v>2025</v>
      </c>
      <c r="G675" t="s">
        <v>2103</v>
      </c>
      <c r="H675" t="s">
        <v>53</v>
      </c>
      <c r="I675" t="s">
        <v>37</v>
      </c>
      <c r="J675" t="s">
        <v>63</v>
      </c>
      <c r="K675" t="s">
        <v>26</v>
      </c>
      <c r="L675" t="s">
        <v>109</v>
      </c>
      <c r="M675" t="s">
        <v>41</v>
      </c>
      <c r="N675" t="s">
        <v>158</v>
      </c>
      <c r="O675" t="s">
        <v>2104</v>
      </c>
      <c r="P675" t="s">
        <v>31</v>
      </c>
      <c r="Q675">
        <v>4</v>
      </c>
      <c r="R675">
        <v>4072.9</v>
      </c>
      <c r="S675">
        <v>0.15</v>
      </c>
      <c r="T675" s="12">
        <f>S675</f>
        <v>0.15</v>
      </c>
      <c r="U675">
        <v>13847.86</v>
      </c>
      <c r="V675">
        <f>Q675*R675*(1-S675)</f>
        <v>13847.86</v>
      </c>
      <c r="W675">
        <v>8471.7800000000007</v>
      </c>
      <c r="X675">
        <v>5376.08</v>
      </c>
      <c r="Y675">
        <f>V675-W675</f>
        <v>5376.08</v>
      </c>
      <c r="Z675" s="12">
        <f>Y675/V675</f>
        <v>0.38822460654570451</v>
      </c>
      <c r="AA675" t="s">
        <v>32</v>
      </c>
      <c r="AB675" t="s">
        <v>33</v>
      </c>
      <c r="AC675" s="14" t="s">
        <v>2794</v>
      </c>
      <c r="AD675" t="s">
        <v>2782</v>
      </c>
      <c r="AE675" t="str">
        <f>PROPER(TRIM(AB675))</f>
        <v>Completed</v>
      </c>
      <c r="AS675" t="str">
        <f t="shared" si="12"/>
        <v/>
      </c>
    </row>
    <row r="676" spans="1:45">
      <c r="A676" t="s">
        <v>2105</v>
      </c>
      <c r="B676" s="7">
        <v>45430</v>
      </c>
      <c r="C676" s="4">
        <v>45433</v>
      </c>
      <c r="D676">
        <f>C676-B676</f>
        <v>3</v>
      </c>
      <c r="E676" t="str">
        <f>TEXT(B676,"mmmm")</f>
        <v>May</v>
      </c>
      <c r="F676">
        <f>YEAR(B676)</f>
        <v>2024</v>
      </c>
      <c r="G676" t="s">
        <v>2106</v>
      </c>
      <c r="H676" t="s">
        <v>71</v>
      </c>
      <c r="I676" t="s">
        <v>90</v>
      </c>
      <c r="J676" t="s">
        <v>38</v>
      </c>
      <c r="K676" t="s">
        <v>228</v>
      </c>
      <c r="L676" t="s">
        <v>229</v>
      </c>
      <c r="M676" t="s">
        <v>74</v>
      </c>
      <c r="N676" t="s">
        <v>75</v>
      </c>
      <c r="O676" t="s">
        <v>2107</v>
      </c>
      <c r="P676" t="s">
        <v>31</v>
      </c>
      <c r="Q676">
        <v>1</v>
      </c>
      <c r="R676">
        <v>1033.71</v>
      </c>
      <c r="S676">
        <v>0</v>
      </c>
      <c r="T676" s="12">
        <f>S676</f>
        <v>0</v>
      </c>
      <c r="U676">
        <v>1033.71</v>
      </c>
      <c r="V676">
        <f>Q676*R676*(1-S676)</f>
        <v>1033.71</v>
      </c>
      <c r="W676">
        <v>630.82000000000005</v>
      </c>
      <c r="X676">
        <v>402.89</v>
      </c>
      <c r="Y676">
        <f>V676-W676</f>
        <v>402.89</v>
      </c>
      <c r="Z676" s="12">
        <f>Y676/V676</f>
        <v>0.38975147768716562</v>
      </c>
      <c r="AA676" t="s">
        <v>111</v>
      </c>
      <c r="AB676" t="s">
        <v>103</v>
      </c>
      <c r="AC676" s="14" t="s">
        <v>2794</v>
      </c>
      <c r="AD676" t="s">
        <v>2782</v>
      </c>
      <c r="AE676" t="str">
        <f>PROPER(TRIM(AB676))</f>
        <v>Returned</v>
      </c>
      <c r="AS676" t="str">
        <f t="shared" si="12"/>
        <v/>
      </c>
    </row>
    <row r="677" spans="1:45">
      <c r="A677" t="s">
        <v>2108</v>
      </c>
      <c r="B677" s="7">
        <v>45815</v>
      </c>
      <c r="C677" s="4">
        <v>45936</v>
      </c>
      <c r="D677">
        <f>C677-B677</f>
        <v>121</v>
      </c>
      <c r="E677" t="str">
        <f>TEXT(B677,"mmmm")</f>
        <v>June</v>
      </c>
      <c r="F677">
        <f>YEAR(B677)</f>
        <v>2025</v>
      </c>
      <c r="G677" t="s">
        <v>2009</v>
      </c>
      <c r="H677" t="s">
        <v>128</v>
      </c>
      <c r="I677" t="s">
        <v>24</v>
      </c>
      <c r="J677" t="s">
        <v>25</v>
      </c>
      <c r="K677" t="s">
        <v>26</v>
      </c>
      <c r="L677" t="s">
        <v>27</v>
      </c>
      <c r="M677" t="s">
        <v>41</v>
      </c>
      <c r="N677" t="s">
        <v>57</v>
      </c>
      <c r="O677" t="s">
        <v>2109</v>
      </c>
      <c r="P677" t="s">
        <v>44</v>
      </c>
      <c r="Q677">
        <v>3</v>
      </c>
      <c r="R677">
        <v>963.26</v>
      </c>
      <c r="S677">
        <v>0</v>
      </c>
      <c r="T677" s="12">
        <f>S677</f>
        <v>0</v>
      </c>
      <c r="U677">
        <v>2889.78</v>
      </c>
      <c r="V677">
        <f>Q677*R677*(1-S677)</f>
        <v>2889.7799999999997</v>
      </c>
      <c r="W677">
        <v>1811.23</v>
      </c>
      <c r="X677">
        <v>1078.55</v>
      </c>
      <c r="Y677">
        <f>V677-W677</f>
        <v>1078.5499999999997</v>
      </c>
      <c r="Z677" s="12">
        <f>Y677/V677</f>
        <v>0.37322910394562903</v>
      </c>
      <c r="AA677" t="s">
        <v>32</v>
      </c>
      <c r="AB677" t="s">
        <v>33</v>
      </c>
      <c r="AC677" s="14" t="s">
        <v>2794</v>
      </c>
      <c r="AD677" t="s">
        <v>2782</v>
      </c>
      <c r="AE677" t="str">
        <f>PROPER(TRIM(AB677))</f>
        <v>Completed</v>
      </c>
      <c r="AS677" t="str">
        <f t="shared" si="12"/>
        <v/>
      </c>
    </row>
    <row r="678" spans="1:45">
      <c r="A678" t="s">
        <v>2110</v>
      </c>
      <c r="B678" s="7">
        <v>45970</v>
      </c>
      <c r="C678" s="4">
        <v>45918</v>
      </c>
      <c r="D678" s="10">
        <f>C678-B678</f>
        <v>-52</v>
      </c>
      <c r="E678" t="str">
        <f>TEXT(B678,"mmmm")</f>
        <v>November</v>
      </c>
      <c r="F678">
        <f>YEAR(B678)</f>
        <v>2025</v>
      </c>
      <c r="G678" t="s">
        <v>2111</v>
      </c>
      <c r="H678" t="s">
        <v>118</v>
      </c>
      <c r="I678" t="s">
        <v>37</v>
      </c>
      <c r="J678" t="s">
        <v>25</v>
      </c>
      <c r="K678" t="s">
        <v>350</v>
      </c>
      <c r="L678" t="s">
        <v>351</v>
      </c>
      <c r="M678" t="s">
        <v>74</v>
      </c>
      <c r="N678" t="s">
        <v>171</v>
      </c>
      <c r="O678" t="s">
        <v>2112</v>
      </c>
      <c r="P678" t="s">
        <v>44</v>
      </c>
      <c r="Q678">
        <v>7</v>
      </c>
      <c r="R678">
        <v>3411.21</v>
      </c>
      <c r="S678">
        <v>0.15</v>
      </c>
      <c r="T678" s="12">
        <f>S678</f>
        <v>0.15</v>
      </c>
      <c r="U678">
        <v>20296.7</v>
      </c>
      <c r="V678">
        <f>Q678*R678*(1-S678)</f>
        <v>20296.699499999999</v>
      </c>
      <c r="W678">
        <v>14920.87</v>
      </c>
      <c r="X678">
        <v>5375.83</v>
      </c>
      <c r="Y678">
        <f>V678-W678</f>
        <v>5375.829499999998</v>
      </c>
      <c r="Z678" s="12">
        <f>Y678/V678</f>
        <v>0.26486225014071862</v>
      </c>
      <c r="AA678" t="s">
        <v>32</v>
      </c>
      <c r="AB678" t="s">
        <v>33</v>
      </c>
      <c r="AC678" s="10" t="s">
        <v>2792</v>
      </c>
      <c r="AD678" t="s">
        <v>2782</v>
      </c>
      <c r="AE678" t="str">
        <f>PROPER(TRIM(AB678))</f>
        <v>Completed</v>
      </c>
      <c r="AS678" t="str">
        <f t="shared" si="12"/>
        <v/>
      </c>
    </row>
    <row r="679" spans="1:45">
      <c r="A679" t="s">
        <v>2113</v>
      </c>
      <c r="B679" s="7">
        <v>45465</v>
      </c>
      <c r="C679" s="4">
        <v>45470</v>
      </c>
      <c r="D679">
        <f>C679-B679</f>
        <v>5</v>
      </c>
      <c r="E679" t="str">
        <f>TEXT(B679,"mmmm")</f>
        <v>June</v>
      </c>
      <c r="F679">
        <f>YEAR(B679)</f>
        <v>2024</v>
      </c>
      <c r="G679" t="s">
        <v>22</v>
      </c>
      <c r="H679" t="s">
        <v>47</v>
      </c>
      <c r="I679" t="s">
        <v>95</v>
      </c>
      <c r="J679" t="s">
        <v>54</v>
      </c>
      <c r="K679" t="s">
        <v>175</v>
      </c>
      <c r="L679" t="s">
        <v>176</v>
      </c>
      <c r="M679" t="s">
        <v>41</v>
      </c>
      <c r="N679" t="s">
        <v>66</v>
      </c>
      <c r="O679" t="s">
        <v>2114</v>
      </c>
      <c r="P679" t="s">
        <v>44</v>
      </c>
      <c r="Q679">
        <v>7</v>
      </c>
      <c r="R679">
        <v>2623.48</v>
      </c>
      <c r="S679">
        <v>0</v>
      </c>
      <c r="T679" s="12">
        <f>S679</f>
        <v>0</v>
      </c>
      <c r="U679">
        <v>18364.36</v>
      </c>
      <c r="V679">
        <f>Q679*R679*(1-S679)</f>
        <v>18364.36</v>
      </c>
      <c r="W679">
        <v>15445.81</v>
      </c>
      <c r="X679">
        <v>2918.55</v>
      </c>
      <c r="Y679">
        <f>V679-W679</f>
        <v>2918.5500000000011</v>
      </c>
      <c r="Z679" s="12">
        <f>Y679/V679</f>
        <v>0.15892467801763857</v>
      </c>
      <c r="AA679" t="s">
        <v>32</v>
      </c>
      <c r="AB679" t="s">
        <v>33</v>
      </c>
      <c r="AC679" s="14" t="s">
        <v>2794</v>
      </c>
      <c r="AD679" t="s">
        <v>2782</v>
      </c>
      <c r="AE679" t="str">
        <f>PROPER(TRIM(AB679))</f>
        <v>Completed</v>
      </c>
      <c r="AS679" t="str">
        <f t="shared" si="12"/>
        <v/>
      </c>
    </row>
    <row r="680" spans="1:45">
      <c r="A680" t="s">
        <v>2115</v>
      </c>
      <c r="B680" s="7">
        <v>45620</v>
      </c>
      <c r="C680" s="4">
        <v>45303</v>
      </c>
      <c r="D680" s="10">
        <f>C680-B680</f>
        <v>-317</v>
      </c>
      <c r="E680" t="str">
        <f>TEXT(B680,"mmmm")</f>
        <v>November</v>
      </c>
      <c r="F680">
        <f>YEAR(B680)</f>
        <v>2024</v>
      </c>
      <c r="G680" t="s">
        <v>2116</v>
      </c>
      <c r="H680" t="s">
        <v>264</v>
      </c>
      <c r="I680" t="s">
        <v>90</v>
      </c>
      <c r="J680" t="s">
        <v>54</v>
      </c>
      <c r="K680" t="s">
        <v>175</v>
      </c>
      <c r="L680" t="s">
        <v>176</v>
      </c>
      <c r="M680" t="s">
        <v>41</v>
      </c>
      <c r="N680" t="s">
        <v>42</v>
      </c>
      <c r="O680" t="s">
        <v>2117</v>
      </c>
      <c r="P680" t="s">
        <v>31</v>
      </c>
      <c r="Q680">
        <v>9</v>
      </c>
      <c r="R680">
        <v>2763.61</v>
      </c>
      <c r="S680">
        <v>0.15</v>
      </c>
      <c r="T680" s="12">
        <f>S680</f>
        <v>0.15</v>
      </c>
      <c r="U680">
        <v>21141.62</v>
      </c>
      <c r="V680">
        <f>Q680*R680*(1-S680)</f>
        <v>21141.6165</v>
      </c>
      <c r="W680">
        <v>11676.33</v>
      </c>
      <c r="X680">
        <v>9465.2900000000009</v>
      </c>
      <c r="Y680">
        <f>V680-W680</f>
        <v>9465.2865000000002</v>
      </c>
      <c r="Z680" s="12">
        <f>Y680/V680</f>
        <v>0.44770874071999178</v>
      </c>
      <c r="AA680" t="s">
        <v>32</v>
      </c>
      <c r="AB680" t="s">
        <v>33</v>
      </c>
      <c r="AC680" s="10" t="s">
        <v>2792</v>
      </c>
      <c r="AD680" t="s">
        <v>2782</v>
      </c>
      <c r="AE680" t="str">
        <f>PROPER(TRIM(AB680))</f>
        <v>Completed</v>
      </c>
      <c r="AS680" t="str">
        <f t="shared" si="12"/>
        <v/>
      </c>
    </row>
    <row r="681" spans="1:45">
      <c r="A681" t="s">
        <v>2118</v>
      </c>
      <c r="B681" s="7">
        <v>45885</v>
      </c>
      <c r="C681" s="4">
        <v>45892</v>
      </c>
      <c r="D681">
        <f>C681-B681</f>
        <v>7</v>
      </c>
      <c r="E681" t="str">
        <f>TEXT(B681,"mmmm")</f>
        <v>August</v>
      </c>
      <c r="F681">
        <f>YEAR(B681)</f>
        <v>2025</v>
      </c>
      <c r="G681" t="s">
        <v>2119</v>
      </c>
      <c r="H681" t="s">
        <v>141</v>
      </c>
      <c r="I681" t="s">
        <v>90</v>
      </c>
      <c r="J681" t="s">
        <v>25</v>
      </c>
      <c r="K681" t="s">
        <v>122</v>
      </c>
      <c r="L681" t="s">
        <v>123</v>
      </c>
      <c r="M681" t="s">
        <v>74</v>
      </c>
      <c r="N681" t="s">
        <v>80</v>
      </c>
      <c r="O681" t="s">
        <v>2120</v>
      </c>
      <c r="P681" t="s">
        <v>44</v>
      </c>
      <c r="Q681">
        <v>4</v>
      </c>
      <c r="R681">
        <v>1410.57</v>
      </c>
      <c r="S681" s="3">
        <v>0.7</v>
      </c>
      <c r="T681" s="13">
        <f>S681</f>
        <v>0.7</v>
      </c>
      <c r="U681">
        <v>5360.17</v>
      </c>
      <c r="V681">
        <f>Q681*R681*(1-S681)</f>
        <v>1692.6840000000002</v>
      </c>
      <c r="W681">
        <v>3881.51</v>
      </c>
      <c r="X681">
        <v>1478.66</v>
      </c>
      <c r="Y681">
        <f>V681-W681</f>
        <v>-2188.826</v>
      </c>
      <c r="Z681" s="12">
        <f>Y681/V681</f>
        <v>-1.2931096412561351</v>
      </c>
      <c r="AA681" t="s">
        <v>102</v>
      </c>
      <c r="AB681" t="s">
        <v>68</v>
      </c>
      <c r="AC681" s="10" t="s">
        <v>2793</v>
      </c>
      <c r="AD681" t="s">
        <v>2782</v>
      </c>
      <c r="AE681" t="str">
        <f>PROPER(TRIM(AB681))</f>
        <v>Cancelled</v>
      </c>
      <c r="AS681" t="str">
        <f t="shared" si="12"/>
        <v/>
      </c>
    </row>
    <row r="682" spans="1:45">
      <c r="A682" t="s">
        <v>2121</v>
      </c>
      <c r="B682" s="7">
        <v>45441</v>
      </c>
      <c r="C682" s="4">
        <v>45448</v>
      </c>
      <c r="D682">
        <f>C682-B682</f>
        <v>7</v>
      </c>
      <c r="E682" t="str">
        <f>TEXT(B682,"mmmm")</f>
        <v>May</v>
      </c>
      <c r="F682">
        <f>YEAR(B682)</f>
        <v>2024</v>
      </c>
      <c r="G682" t="s">
        <v>2122</v>
      </c>
      <c r="H682" t="s">
        <v>264</v>
      </c>
      <c r="I682" t="s">
        <v>90</v>
      </c>
      <c r="J682" t="s">
        <v>54</v>
      </c>
      <c r="K682" t="s">
        <v>247</v>
      </c>
      <c r="L682" t="s">
        <v>248</v>
      </c>
      <c r="M682" t="s">
        <v>74</v>
      </c>
      <c r="N682" t="s">
        <v>75</v>
      </c>
      <c r="O682" t="s">
        <v>2123</v>
      </c>
      <c r="P682" t="s">
        <v>50</v>
      </c>
      <c r="Q682">
        <v>4</v>
      </c>
      <c r="R682">
        <v>3700.24</v>
      </c>
      <c r="S682">
        <v>0</v>
      </c>
      <c r="T682" s="12">
        <f>S682</f>
        <v>0</v>
      </c>
      <c r="U682">
        <v>14800.96</v>
      </c>
      <c r="V682">
        <f>Q682*R682*(1-S682)</f>
        <v>14800.96</v>
      </c>
      <c r="W682">
        <v>12048.39</v>
      </c>
      <c r="X682">
        <v>2752.57</v>
      </c>
      <c r="Y682">
        <f>V682-W682</f>
        <v>2752.5699999999997</v>
      </c>
      <c r="Z682" s="12">
        <f>Y682/V682</f>
        <v>0.18597239638509933</v>
      </c>
      <c r="AA682" t="s">
        <v>32</v>
      </c>
      <c r="AB682" t="s">
        <v>33</v>
      </c>
      <c r="AC682" s="14" t="s">
        <v>2794</v>
      </c>
      <c r="AD682" t="s">
        <v>2782</v>
      </c>
      <c r="AE682" t="str">
        <f>PROPER(TRIM(AB682))</f>
        <v>Completed</v>
      </c>
      <c r="AS682" t="str">
        <f t="shared" si="12"/>
        <v/>
      </c>
    </row>
    <row r="683" spans="1:45">
      <c r="A683" t="s">
        <v>2124</v>
      </c>
      <c r="B683" s="7">
        <v>45389</v>
      </c>
      <c r="C683" s="4">
        <v>45483</v>
      </c>
      <c r="D683">
        <f>C683-B683</f>
        <v>94</v>
      </c>
      <c r="E683" t="str">
        <f>TEXT(B683,"mmmm")</f>
        <v>April</v>
      </c>
      <c r="F683">
        <f>YEAR(B683)</f>
        <v>2024</v>
      </c>
      <c r="G683" t="s">
        <v>2125</v>
      </c>
      <c r="H683" t="s">
        <v>71</v>
      </c>
      <c r="I683" t="s">
        <v>90</v>
      </c>
      <c r="J683" t="s">
        <v>25</v>
      </c>
      <c r="K683" t="s">
        <v>350</v>
      </c>
      <c r="L683" t="s">
        <v>351</v>
      </c>
      <c r="M683" t="s">
        <v>41</v>
      </c>
      <c r="N683" t="s">
        <v>42</v>
      </c>
      <c r="O683" t="s">
        <v>2126</v>
      </c>
      <c r="P683" t="s">
        <v>31</v>
      </c>
      <c r="Q683">
        <v>5</v>
      </c>
      <c r="R683">
        <v>1200.27</v>
      </c>
      <c r="S683">
        <v>0</v>
      </c>
      <c r="T683" s="12">
        <f>S683</f>
        <v>0</v>
      </c>
      <c r="U683">
        <v>6001.35</v>
      </c>
      <c r="V683">
        <f>Q683*R683*(1-S683)</f>
        <v>6001.35</v>
      </c>
      <c r="W683">
        <v>4182.99</v>
      </c>
      <c r="X683">
        <v>1818.36</v>
      </c>
      <c r="Y683">
        <f>V683-W683</f>
        <v>1818.3600000000006</v>
      </c>
      <c r="Z683" s="12">
        <f>Y683/V683</f>
        <v>0.30299182683896131</v>
      </c>
      <c r="AA683" t="s">
        <v>32</v>
      </c>
      <c r="AB683" t="s">
        <v>68</v>
      </c>
      <c r="AC683" s="14" t="s">
        <v>2794</v>
      </c>
      <c r="AD683" t="s">
        <v>2782</v>
      </c>
      <c r="AE683" t="str">
        <f>PROPER(TRIM(AB683))</f>
        <v>Cancelled</v>
      </c>
      <c r="AS683" t="str">
        <f t="shared" si="12"/>
        <v/>
      </c>
    </row>
    <row r="684" spans="1:45">
      <c r="A684" t="s">
        <v>2127</v>
      </c>
      <c r="B684" s="7">
        <v>45693</v>
      </c>
      <c r="C684" s="4">
        <v>45693</v>
      </c>
      <c r="D684">
        <f>C684-B684</f>
        <v>0</v>
      </c>
      <c r="E684" t="str">
        <f>TEXT(B684,"mmmm")</f>
        <v>February</v>
      </c>
      <c r="F684">
        <f>YEAR(B684)</f>
        <v>2025</v>
      </c>
      <c r="G684" t="s">
        <v>2128</v>
      </c>
      <c r="H684" t="s">
        <v>62</v>
      </c>
      <c r="I684" t="s">
        <v>90</v>
      </c>
      <c r="J684" t="s">
        <v>25</v>
      </c>
      <c r="K684" t="s">
        <v>236</v>
      </c>
      <c r="L684" t="s">
        <v>237</v>
      </c>
      <c r="M684" t="s">
        <v>28</v>
      </c>
      <c r="N684" t="s">
        <v>124</v>
      </c>
      <c r="O684" t="s">
        <v>2129</v>
      </c>
      <c r="P684" t="s">
        <v>44</v>
      </c>
      <c r="Q684">
        <v>3</v>
      </c>
      <c r="R684">
        <v>2590.7800000000002</v>
      </c>
      <c r="S684">
        <v>0</v>
      </c>
      <c r="T684" s="12">
        <f>S684</f>
        <v>0</v>
      </c>
      <c r="U684">
        <v>7383.72</v>
      </c>
      <c r="V684">
        <f>Q684*R684*(1-S684)</f>
        <v>7772.34</v>
      </c>
      <c r="W684">
        <v>4113.66</v>
      </c>
      <c r="X684">
        <v>3270.06</v>
      </c>
      <c r="Y684">
        <f>V684-W684</f>
        <v>3658.6800000000003</v>
      </c>
      <c r="Z684" s="12">
        <f>Y684/V684</f>
        <v>0.47073082237781677</v>
      </c>
      <c r="AA684" t="s">
        <v>32</v>
      </c>
      <c r="AB684" t="s">
        <v>33</v>
      </c>
      <c r="AC684" s="14" t="s">
        <v>2794</v>
      </c>
      <c r="AD684" t="s">
        <v>2782</v>
      </c>
      <c r="AE684" t="str">
        <f>PROPER(TRIM(AB684))</f>
        <v>Completed</v>
      </c>
      <c r="AS684" t="str">
        <f t="shared" si="12"/>
        <v/>
      </c>
    </row>
    <row r="685" spans="1:45">
      <c r="A685" t="s">
        <v>2130</v>
      </c>
      <c r="B685" s="7">
        <v>45858</v>
      </c>
      <c r="C685" s="4">
        <v>45862</v>
      </c>
      <c r="D685">
        <f>C685-B685</f>
        <v>4</v>
      </c>
      <c r="E685" t="str">
        <f>TEXT(B685,"mmmm")</f>
        <v>July</v>
      </c>
      <c r="F685">
        <f>YEAR(B685)</f>
        <v>2025</v>
      </c>
      <c r="G685" t="s">
        <v>2131</v>
      </c>
      <c r="H685" t="s">
        <v>53</v>
      </c>
      <c r="I685" t="s">
        <v>37</v>
      </c>
      <c r="J685" t="s">
        <v>54</v>
      </c>
      <c r="K685" t="s">
        <v>55</v>
      </c>
      <c r="L685" t="s">
        <v>56</v>
      </c>
      <c r="M685" t="s">
        <v>41</v>
      </c>
      <c r="N685" t="s">
        <v>57</v>
      </c>
      <c r="O685" t="s">
        <v>2132</v>
      </c>
      <c r="P685" t="s">
        <v>31</v>
      </c>
      <c r="Q685">
        <v>6</v>
      </c>
      <c r="R685">
        <v>1646.45</v>
      </c>
      <c r="S685">
        <v>0.2</v>
      </c>
      <c r="T685" s="12">
        <f>S685</f>
        <v>0.2</v>
      </c>
      <c r="U685">
        <v>7902.96</v>
      </c>
      <c r="V685">
        <f>Q685*R685*(1-S685)</f>
        <v>7902.9600000000009</v>
      </c>
      <c r="W685">
        <v>5512.03</v>
      </c>
      <c r="X685">
        <v>2390.9299999999998</v>
      </c>
      <c r="Y685">
        <f>V685-W685</f>
        <v>2390.9300000000012</v>
      </c>
      <c r="Z685" s="12">
        <f>Y685/V685</f>
        <v>0.30253601182341816</v>
      </c>
      <c r="AA685" t="s">
        <v>102</v>
      </c>
      <c r="AB685" t="s">
        <v>68</v>
      </c>
      <c r="AC685" s="14" t="s">
        <v>2794</v>
      </c>
      <c r="AD685" t="s">
        <v>2782</v>
      </c>
      <c r="AE685" t="str">
        <f>PROPER(TRIM(AB685))</f>
        <v>Cancelled</v>
      </c>
      <c r="AS685" t="str">
        <f t="shared" si="12"/>
        <v/>
      </c>
    </row>
    <row r="686" spans="1:45">
      <c r="A686" t="s">
        <v>2133</v>
      </c>
      <c r="B686" s="7">
        <v>45859</v>
      </c>
      <c r="C686" s="4">
        <v>45859</v>
      </c>
      <c r="D686">
        <f>C686-B686</f>
        <v>0</v>
      </c>
      <c r="E686" t="str">
        <f>TEXT(B686,"mmmm")</f>
        <v>July</v>
      </c>
      <c r="F686">
        <f>YEAR(B686)</f>
        <v>2025</v>
      </c>
      <c r="G686" t="s">
        <v>2134</v>
      </c>
      <c r="H686" t="s">
        <v>47</v>
      </c>
      <c r="I686" t="s">
        <v>95</v>
      </c>
      <c r="J686" t="s">
        <v>54</v>
      </c>
      <c r="K686" t="s">
        <v>247</v>
      </c>
      <c r="L686" t="s">
        <v>248</v>
      </c>
      <c r="M686" t="s">
        <v>41</v>
      </c>
      <c r="N686" t="s">
        <v>158</v>
      </c>
      <c r="O686" t="s">
        <v>2135</v>
      </c>
      <c r="P686" t="s">
        <v>50</v>
      </c>
      <c r="Q686">
        <v>7</v>
      </c>
      <c r="R686">
        <v>4396.6499999999996</v>
      </c>
      <c r="S686">
        <v>0.2</v>
      </c>
      <c r="T686" s="12">
        <f>S686</f>
        <v>0.2</v>
      </c>
      <c r="U686">
        <v>24621.24</v>
      </c>
      <c r="V686">
        <f>Q686*R686*(1-S686)</f>
        <v>24621.239999999998</v>
      </c>
      <c r="W686">
        <v>17155.48</v>
      </c>
      <c r="X686">
        <v>7465.76</v>
      </c>
      <c r="Y686">
        <f>V686-W686</f>
        <v>7465.7599999999984</v>
      </c>
      <c r="Z686" s="12">
        <f>Y686/V686</f>
        <v>0.3032243705028666</v>
      </c>
      <c r="AA686" t="s">
        <v>102</v>
      </c>
      <c r="AB686" t="s">
        <v>68</v>
      </c>
      <c r="AC686" s="14" t="s">
        <v>2794</v>
      </c>
      <c r="AD686" t="s">
        <v>2782</v>
      </c>
      <c r="AE686" t="str">
        <f>PROPER(TRIM(AB686))</f>
        <v>Cancelled</v>
      </c>
      <c r="AS686" t="str">
        <f t="shared" si="12"/>
        <v/>
      </c>
    </row>
    <row r="687" spans="1:45">
      <c r="A687" t="s">
        <v>2136</v>
      </c>
      <c r="B687" s="7">
        <v>45931</v>
      </c>
      <c r="C687" s="4">
        <v>45933</v>
      </c>
      <c r="D687">
        <f>C687-B687</f>
        <v>2</v>
      </c>
      <c r="E687" t="str">
        <f>TEXT(B687,"mmmm")</f>
        <v>October</v>
      </c>
      <c r="F687">
        <f>YEAR(B687)</f>
        <v>2025</v>
      </c>
      <c r="G687" t="s">
        <v>1802</v>
      </c>
      <c r="H687" t="s">
        <v>79</v>
      </c>
      <c r="I687" t="s">
        <v>90</v>
      </c>
      <c r="J687" t="s">
        <v>63</v>
      </c>
      <c r="K687" t="s">
        <v>190</v>
      </c>
      <c r="L687" t="s">
        <v>191</v>
      </c>
      <c r="M687" t="s">
        <v>28</v>
      </c>
      <c r="N687" t="s">
        <v>48</v>
      </c>
      <c r="O687" t="s">
        <v>2137</v>
      </c>
      <c r="P687" t="s">
        <v>59</v>
      </c>
      <c r="Q687">
        <v>9</v>
      </c>
      <c r="R687">
        <v>818.15</v>
      </c>
      <c r="S687">
        <v>0.55000000000000004</v>
      </c>
      <c r="T687" s="12">
        <f>S687</f>
        <v>0.55000000000000004</v>
      </c>
      <c r="U687">
        <v>6627.01</v>
      </c>
      <c r="V687">
        <f>Q687*R687*(1-S687)</f>
        <v>3313.5074999999993</v>
      </c>
      <c r="W687">
        <v>5606.79</v>
      </c>
      <c r="X687">
        <v>1020.22</v>
      </c>
      <c r="Y687">
        <f>V687-W687</f>
        <v>-2293.2825000000007</v>
      </c>
      <c r="Z687" s="12">
        <f>Y687/V687</f>
        <v>-0.69210119488185895</v>
      </c>
      <c r="AA687" t="s">
        <v>155</v>
      </c>
      <c r="AB687" t="s">
        <v>68</v>
      </c>
      <c r="AC687" s="14" t="s">
        <v>2794</v>
      </c>
      <c r="AD687" t="s">
        <v>2782</v>
      </c>
      <c r="AE687" t="str">
        <f>PROPER(TRIM(AB687))</f>
        <v>Cancelled</v>
      </c>
      <c r="AS687" t="str">
        <f t="shared" si="12"/>
        <v/>
      </c>
    </row>
    <row r="688" spans="1:45">
      <c r="A688" t="s">
        <v>2138</v>
      </c>
      <c r="B688" s="7">
        <v>45376</v>
      </c>
      <c r="C688" s="4">
        <v>45326</v>
      </c>
      <c r="D688" s="10">
        <f>C688-B688</f>
        <v>-50</v>
      </c>
      <c r="E688" t="str">
        <f>TEXT(B688,"mmmm")</f>
        <v>March</v>
      </c>
      <c r="F688">
        <f>YEAR(B688)</f>
        <v>2024</v>
      </c>
      <c r="G688" t="s">
        <v>2139</v>
      </c>
      <c r="H688" t="s">
        <v>132</v>
      </c>
      <c r="I688" t="s">
        <v>95</v>
      </c>
      <c r="J688" t="s">
        <v>54</v>
      </c>
      <c r="K688" t="s">
        <v>247</v>
      </c>
      <c r="L688" t="s">
        <v>248</v>
      </c>
      <c r="M688" t="s">
        <v>74</v>
      </c>
      <c r="N688" t="s">
        <v>80</v>
      </c>
      <c r="O688" t="s">
        <v>2140</v>
      </c>
      <c r="P688" t="s">
        <v>59</v>
      </c>
      <c r="Q688">
        <v>2</v>
      </c>
      <c r="R688">
        <v>2349.13</v>
      </c>
      <c r="S688">
        <v>0</v>
      </c>
      <c r="T688" s="12">
        <f>S688</f>
        <v>0</v>
      </c>
      <c r="U688">
        <v>4698.26</v>
      </c>
      <c r="V688">
        <f>Q688*R688*(1-S688)</f>
        <v>4698.26</v>
      </c>
      <c r="W688">
        <v>2654.92</v>
      </c>
      <c r="X688">
        <v>2043.34</v>
      </c>
      <c r="Y688">
        <f>V688-W688</f>
        <v>2043.3400000000001</v>
      </c>
      <c r="Z688" s="12">
        <f>Y688/V688</f>
        <v>0.43491420227914163</v>
      </c>
      <c r="AA688" t="s">
        <v>32</v>
      </c>
      <c r="AB688" t="s">
        <v>33</v>
      </c>
      <c r="AC688" s="10" t="s">
        <v>2792</v>
      </c>
      <c r="AD688" t="s">
        <v>2782</v>
      </c>
      <c r="AE688" t="str">
        <f>PROPER(TRIM(AB688))</f>
        <v>Completed</v>
      </c>
      <c r="AS688" t="str">
        <f t="shared" si="12"/>
        <v/>
      </c>
    </row>
    <row r="689" spans="1:45">
      <c r="A689" t="s">
        <v>2141</v>
      </c>
      <c r="B689" s="7">
        <v>45938</v>
      </c>
      <c r="C689" s="4">
        <v>45943</v>
      </c>
      <c r="D689">
        <f>C689-B689</f>
        <v>5</v>
      </c>
      <c r="E689" t="str">
        <f>TEXT(B689,"mmmm")</f>
        <v>October</v>
      </c>
      <c r="F689">
        <f>YEAR(B689)</f>
        <v>2025</v>
      </c>
      <c r="G689" t="s">
        <v>2142</v>
      </c>
      <c r="H689" t="s">
        <v>36</v>
      </c>
      <c r="I689" t="s">
        <v>95</v>
      </c>
      <c r="J689" t="s">
        <v>25</v>
      </c>
      <c r="K689" t="s">
        <v>122</v>
      </c>
      <c r="L689" t="s">
        <v>123</v>
      </c>
      <c r="M689" t="s">
        <v>41</v>
      </c>
      <c r="N689" t="s">
        <v>42</v>
      </c>
      <c r="O689" t="s">
        <v>2143</v>
      </c>
      <c r="P689" t="s">
        <v>50</v>
      </c>
      <c r="Q689">
        <v>4</v>
      </c>
      <c r="R689">
        <v>172.05</v>
      </c>
      <c r="S689">
        <v>0</v>
      </c>
      <c r="T689" s="12">
        <f>S689</f>
        <v>0</v>
      </c>
      <c r="U689">
        <v>688.2</v>
      </c>
      <c r="V689">
        <f>Q689*R689*(1-S689)</f>
        <v>688.2</v>
      </c>
      <c r="W689">
        <v>497.68</v>
      </c>
      <c r="X689">
        <v>190.52</v>
      </c>
      <c r="Y689">
        <f>V689-W689</f>
        <v>190.52000000000004</v>
      </c>
      <c r="Z689" s="12">
        <f>Y689/V689</f>
        <v>0.27683812845103173</v>
      </c>
      <c r="AA689" t="s">
        <v>155</v>
      </c>
      <c r="AB689" t="s">
        <v>68</v>
      </c>
      <c r="AC689" s="14" t="s">
        <v>2794</v>
      </c>
      <c r="AD689" t="s">
        <v>2782</v>
      </c>
      <c r="AE689" t="str">
        <f>PROPER(TRIM(AB689))</f>
        <v>Cancelled</v>
      </c>
      <c r="AS689" t="str">
        <f t="shared" si="12"/>
        <v/>
      </c>
    </row>
    <row r="690" spans="1:45">
      <c r="A690" t="s">
        <v>2144</v>
      </c>
      <c r="B690" s="7">
        <v>45714</v>
      </c>
      <c r="C690" s="4">
        <v>45715</v>
      </c>
      <c r="D690">
        <f>C690-B690</f>
        <v>1</v>
      </c>
      <c r="E690" t="str">
        <f>TEXT(B690,"mmmm")</f>
        <v>February</v>
      </c>
      <c r="F690">
        <f>YEAR(B690)</f>
        <v>2025</v>
      </c>
      <c r="G690" t="s">
        <v>2145</v>
      </c>
      <c r="H690" t="s">
        <v>79</v>
      </c>
      <c r="I690" t="s">
        <v>95</v>
      </c>
      <c r="J690" t="s">
        <v>25</v>
      </c>
      <c r="K690" t="s">
        <v>236</v>
      </c>
      <c r="L690" t="s">
        <v>237</v>
      </c>
      <c r="M690" t="s">
        <v>28</v>
      </c>
      <c r="N690" t="s">
        <v>48</v>
      </c>
      <c r="O690" t="s">
        <v>2146</v>
      </c>
      <c r="P690" t="s">
        <v>31</v>
      </c>
      <c r="Q690">
        <v>6</v>
      </c>
      <c r="R690">
        <v>3037.66</v>
      </c>
      <c r="S690">
        <v>0.15</v>
      </c>
      <c r="T690" s="12">
        <f>S690</f>
        <v>0.15</v>
      </c>
      <c r="U690">
        <v>15492.07</v>
      </c>
      <c r="V690">
        <f>Q690*R690*(1-S690)</f>
        <v>15492.065999999999</v>
      </c>
      <c r="W690">
        <v>12581.23</v>
      </c>
      <c r="X690">
        <v>2910.84</v>
      </c>
      <c r="Y690">
        <f>V690-W690</f>
        <v>2910.8359999999993</v>
      </c>
      <c r="Z690" s="12">
        <f>Y690/V690</f>
        <v>0.18789204745190213</v>
      </c>
      <c r="AA690" t="s">
        <v>32</v>
      </c>
      <c r="AB690" t="s">
        <v>33</v>
      </c>
      <c r="AC690" s="14" t="s">
        <v>2794</v>
      </c>
      <c r="AD690" t="s">
        <v>2782</v>
      </c>
      <c r="AE690" t="str">
        <f>PROPER(TRIM(AB690))</f>
        <v>Completed</v>
      </c>
      <c r="AS690" t="str">
        <f t="shared" si="12"/>
        <v/>
      </c>
    </row>
    <row r="691" spans="1:45">
      <c r="A691" t="s">
        <v>2147</v>
      </c>
      <c r="B691" s="7">
        <v>45570</v>
      </c>
      <c r="C691" s="4">
        <v>45571</v>
      </c>
      <c r="D691">
        <f>C691-B691</f>
        <v>1</v>
      </c>
      <c r="E691" t="str">
        <f>TEXT(B691,"mmmm")</f>
        <v>October</v>
      </c>
      <c r="F691">
        <f>YEAR(B691)</f>
        <v>2024</v>
      </c>
      <c r="G691" t="s">
        <v>2148</v>
      </c>
      <c r="H691" t="s">
        <v>141</v>
      </c>
      <c r="I691" t="s">
        <v>37</v>
      </c>
      <c r="J691" t="s">
        <v>25</v>
      </c>
      <c r="K691" t="s">
        <v>122</v>
      </c>
      <c r="L691" t="s">
        <v>123</v>
      </c>
      <c r="M691" t="s">
        <v>41</v>
      </c>
      <c r="N691" t="s">
        <v>42</v>
      </c>
      <c r="O691" t="s">
        <v>2149</v>
      </c>
      <c r="P691" t="s">
        <v>59</v>
      </c>
      <c r="Q691">
        <v>9</v>
      </c>
      <c r="R691">
        <v>489.58</v>
      </c>
      <c r="S691">
        <v>0.15</v>
      </c>
      <c r="T691" s="12">
        <f>S691</f>
        <v>0.15</v>
      </c>
      <c r="U691">
        <v>3745.29</v>
      </c>
      <c r="V691">
        <f>Q691*R691*(1-S691)</f>
        <v>3745.2870000000003</v>
      </c>
      <c r="W691">
        <v>2302.65</v>
      </c>
      <c r="X691">
        <v>1442.64</v>
      </c>
      <c r="Y691">
        <f>V691-W691</f>
        <v>1442.6370000000002</v>
      </c>
      <c r="Z691" s="12">
        <f>Y691/V691</f>
        <v>0.38518730340291679</v>
      </c>
      <c r="AA691" t="s">
        <v>155</v>
      </c>
      <c r="AB691" t="s">
        <v>68</v>
      </c>
      <c r="AC691" s="14" t="s">
        <v>2794</v>
      </c>
      <c r="AD691" t="s">
        <v>2782</v>
      </c>
      <c r="AE691" t="str">
        <f>PROPER(TRIM(AB691))</f>
        <v>Cancelled</v>
      </c>
      <c r="AS691" t="str">
        <f t="shared" si="12"/>
        <v/>
      </c>
    </row>
    <row r="692" spans="1:45">
      <c r="A692" t="s">
        <v>2150</v>
      </c>
      <c r="B692" s="7">
        <v>45605</v>
      </c>
      <c r="C692" s="4">
        <v>45550</v>
      </c>
      <c r="D692" s="10">
        <f>C692-B692</f>
        <v>-55</v>
      </c>
      <c r="E692" t="str">
        <f>TEXT(B692,"mmmm")</f>
        <v>November</v>
      </c>
      <c r="F692">
        <f>YEAR(B692)</f>
        <v>2024</v>
      </c>
      <c r="G692" t="s">
        <v>2151</v>
      </c>
      <c r="H692" t="s">
        <v>132</v>
      </c>
      <c r="I692" t="s">
        <v>90</v>
      </c>
      <c r="J692" t="s">
        <v>54</v>
      </c>
      <c r="K692" t="s">
        <v>247</v>
      </c>
      <c r="L692" t="s">
        <v>248</v>
      </c>
      <c r="M692" t="s">
        <v>28</v>
      </c>
      <c r="N692" t="s">
        <v>48</v>
      </c>
      <c r="O692" t="s">
        <v>2152</v>
      </c>
      <c r="P692" t="s">
        <v>59</v>
      </c>
      <c r="Q692">
        <v>4</v>
      </c>
      <c r="R692">
        <v>865.63</v>
      </c>
      <c r="S692">
        <v>0</v>
      </c>
      <c r="T692" s="12">
        <f>S692</f>
        <v>0</v>
      </c>
      <c r="U692">
        <v>3462.52</v>
      </c>
      <c r="V692">
        <f>Q692*R692*(1-S692)</f>
        <v>3462.52</v>
      </c>
      <c r="W692">
        <v>2797.29</v>
      </c>
      <c r="X692">
        <v>665.23</v>
      </c>
      <c r="Y692">
        <f>V692-W692</f>
        <v>665.23</v>
      </c>
      <c r="Z692" s="12">
        <f>Y692/V692</f>
        <v>0.19212307798944123</v>
      </c>
      <c r="AA692" t="s">
        <v>155</v>
      </c>
      <c r="AB692" t="s">
        <v>103</v>
      </c>
      <c r="AC692" s="10" t="s">
        <v>2792</v>
      </c>
      <c r="AD692" t="s">
        <v>2782</v>
      </c>
      <c r="AE692" t="str">
        <f>PROPER(TRIM(AB692))</f>
        <v>Returned</v>
      </c>
      <c r="AS692" t="str">
        <f t="shared" si="12"/>
        <v/>
      </c>
    </row>
    <row r="693" spans="1:45">
      <c r="A693" t="s">
        <v>2153</v>
      </c>
      <c r="B693" s="7">
        <v>45641</v>
      </c>
      <c r="C693" s="4">
        <v>45642</v>
      </c>
      <c r="D693">
        <f>C693-B693</f>
        <v>1</v>
      </c>
      <c r="E693" t="str">
        <f>TEXT(B693,"mmmm")</f>
        <v>December</v>
      </c>
      <c r="F693">
        <f>YEAR(B693)</f>
        <v>2024</v>
      </c>
      <c r="G693" t="s">
        <v>2154</v>
      </c>
      <c r="H693" t="s">
        <v>141</v>
      </c>
      <c r="I693" t="s">
        <v>24</v>
      </c>
      <c r="J693" t="s">
        <v>38</v>
      </c>
      <c r="K693" t="s">
        <v>39</v>
      </c>
      <c r="L693" t="s">
        <v>40</v>
      </c>
      <c r="M693" t="s">
        <v>74</v>
      </c>
      <c r="N693" t="s">
        <v>80</v>
      </c>
      <c r="O693" t="s">
        <v>2155</v>
      </c>
      <c r="P693" t="s">
        <v>31</v>
      </c>
      <c r="Q693">
        <v>6</v>
      </c>
      <c r="R693">
        <v>1538.1</v>
      </c>
      <c r="S693">
        <v>0.05</v>
      </c>
      <c r="T693" s="12">
        <f>S693</f>
        <v>0.05</v>
      </c>
      <c r="U693">
        <v>8767.17</v>
      </c>
      <c r="V693">
        <f>Q693*R693*(1-S693)</f>
        <v>8767.1699999999983</v>
      </c>
      <c r="W693">
        <v>5098.2</v>
      </c>
      <c r="X693">
        <v>3668.97</v>
      </c>
      <c r="Y693">
        <f>V693-W693</f>
        <v>3668.9699999999984</v>
      </c>
      <c r="Z693" s="12">
        <f>Y693/V693</f>
        <v>0.41848966085977563</v>
      </c>
      <c r="AA693" t="s">
        <v>32</v>
      </c>
      <c r="AB693" t="s">
        <v>33</v>
      </c>
      <c r="AC693" s="14" t="s">
        <v>2794</v>
      </c>
      <c r="AD693" t="s">
        <v>2782</v>
      </c>
      <c r="AE693" t="str">
        <f>PROPER(TRIM(AB693))</f>
        <v>Completed</v>
      </c>
      <c r="AS693" t="str">
        <f t="shared" si="12"/>
        <v/>
      </c>
    </row>
    <row r="694" spans="1:45">
      <c r="A694" t="s">
        <v>2156</v>
      </c>
      <c r="B694" s="7">
        <v>45935</v>
      </c>
      <c r="C694" s="4">
        <v>45940</v>
      </c>
      <c r="D694">
        <f>C694-B694</f>
        <v>5</v>
      </c>
      <c r="E694" t="str">
        <f>TEXT(B694,"mmmm")</f>
        <v>October</v>
      </c>
      <c r="F694">
        <f>YEAR(B694)</f>
        <v>2025</v>
      </c>
      <c r="G694" t="s">
        <v>2157</v>
      </c>
      <c r="H694" t="s">
        <v>47</v>
      </c>
      <c r="I694" t="s">
        <v>90</v>
      </c>
      <c r="J694" t="s">
        <v>54</v>
      </c>
      <c r="K694" t="s">
        <v>175</v>
      </c>
      <c r="L694" t="s">
        <v>176</v>
      </c>
      <c r="M694" t="s">
        <v>41</v>
      </c>
      <c r="N694" t="s">
        <v>57</v>
      </c>
      <c r="O694" t="s">
        <v>2158</v>
      </c>
      <c r="P694" t="s">
        <v>31</v>
      </c>
      <c r="Q694">
        <v>4</v>
      </c>
      <c r="R694">
        <v>2365.6799999999998</v>
      </c>
      <c r="S694">
        <v>0.1</v>
      </c>
      <c r="T694" s="12">
        <f>S694</f>
        <v>0.1</v>
      </c>
      <c r="U694">
        <v>8516.4500000000007</v>
      </c>
      <c r="V694">
        <f>Q694*R694*(1-S694)</f>
        <v>8516.4480000000003</v>
      </c>
      <c r="W694">
        <v>5903.81</v>
      </c>
      <c r="X694">
        <v>2612.64</v>
      </c>
      <c r="Y694">
        <f>V694-W694</f>
        <v>2612.6379999999999</v>
      </c>
      <c r="Z694" s="12">
        <f>Y694/V694</f>
        <v>0.30677554774009069</v>
      </c>
      <c r="AA694" t="s">
        <v>32</v>
      </c>
      <c r="AB694" t="s">
        <v>33</v>
      </c>
      <c r="AC694" s="14" t="s">
        <v>2794</v>
      </c>
      <c r="AD694" t="s">
        <v>2782</v>
      </c>
      <c r="AE694" t="str">
        <f>PROPER(TRIM(AB694))</f>
        <v>Completed</v>
      </c>
      <c r="AS694" t="str">
        <f t="shared" si="12"/>
        <v/>
      </c>
    </row>
    <row r="695" spans="1:45">
      <c r="A695" t="s">
        <v>2159</v>
      </c>
      <c r="B695" s="7">
        <v>45750</v>
      </c>
      <c r="C695" s="4">
        <v>45758</v>
      </c>
      <c r="D695">
        <f>C695-B695</f>
        <v>8</v>
      </c>
      <c r="E695" t="str">
        <f>TEXT(B695,"mmmm")</f>
        <v>April</v>
      </c>
      <c r="F695">
        <f>YEAR(B695)</f>
        <v>2025</v>
      </c>
      <c r="G695" t="s">
        <v>2160</v>
      </c>
      <c r="H695" t="s">
        <v>53</v>
      </c>
      <c r="I695" t="s">
        <v>24</v>
      </c>
      <c r="J695" t="s">
        <v>54</v>
      </c>
      <c r="K695" t="s">
        <v>247</v>
      </c>
      <c r="L695" t="s">
        <v>248</v>
      </c>
      <c r="M695" t="s">
        <v>41</v>
      </c>
      <c r="N695" t="s">
        <v>158</v>
      </c>
      <c r="O695" t="s">
        <v>2161</v>
      </c>
      <c r="P695" t="s">
        <v>31</v>
      </c>
      <c r="Q695">
        <v>3</v>
      </c>
      <c r="R695">
        <v>4149.7700000000004</v>
      </c>
      <c r="S695">
        <v>0.05</v>
      </c>
      <c r="T695" s="12">
        <f>S695</f>
        <v>0.05</v>
      </c>
      <c r="U695">
        <v>11826.84</v>
      </c>
      <c r="V695">
        <f>Q695*R695*(1-S695)</f>
        <v>11826.844500000001</v>
      </c>
      <c r="W695">
        <v>8035.96</v>
      </c>
      <c r="X695">
        <v>3790.88</v>
      </c>
      <c r="Y695">
        <f>V695-W695</f>
        <v>3790.884500000001</v>
      </c>
      <c r="Z695" s="12">
        <f>Y695/V695</f>
        <v>0.32053220112938835</v>
      </c>
      <c r="AA695" t="s">
        <v>32</v>
      </c>
      <c r="AB695" t="s">
        <v>33</v>
      </c>
      <c r="AC695" s="14" t="s">
        <v>2794</v>
      </c>
      <c r="AD695" t="s">
        <v>2782</v>
      </c>
      <c r="AE695" t="str">
        <f>PROPER(TRIM(AB695))</f>
        <v>Completed</v>
      </c>
      <c r="AS695" t="str">
        <f t="shared" si="12"/>
        <v/>
      </c>
    </row>
    <row r="696" spans="1:45">
      <c r="A696" t="s">
        <v>2162</v>
      </c>
      <c r="B696" s="7">
        <v>45870</v>
      </c>
      <c r="C696" s="4">
        <v>45878</v>
      </c>
      <c r="D696">
        <f>C696-B696</f>
        <v>8</v>
      </c>
      <c r="E696" t="str">
        <f>TEXT(B696,"mmmm")</f>
        <v>August</v>
      </c>
      <c r="F696">
        <f>YEAR(B696)</f>
        <v>2025</v>
      </c>
      <c r="G696" t="s">
        <v>1135</v>
      </c>
      <c r="H696" t="s">
        <v>47</v>
      </c>
      <c r="I696" t="s">
        <v>24</v>
      </c>
      <c r="J696" t="s">
        <v>54</v>
      </c>
      <c r="K696" t="s">
        <v>84</v>
      </c>
      <c r="L696" t="s">
        <v>85</v>
      </c>
      <c r="M696" t="s">
        <v>28</v>
      </c>
      <c r="N696" t="s">
        <v>124</v>
      </c>
      <c r="O696" t="s">
        <v>2163</v>
      </c>
      <c r="P696" t="s">
        <v>50</v>
      </c>
      <c r="Q696">
        <v>5</v>
      </c>
      <c r="R696">
        <v>2736.24</v>
      </c>
      <c r="S696">
        <v>0.15</v>
      </c>
      <c r="T696" s="12">
        <f>S696</f>
        <v>0.15</v>
      </c>
      <c r="U696">
        <v>11629.02</v>
      </c>
      <c r="V696">
        <f>Q696*R696*(1-S696)</f>
        <v>11629.019999999999</v>
      </c>
      <c r="W696">
        <v>9627.2099999999991</v>
      </c>
      <c r="X696">
        <v>2001.81</v>
      </c>
      <c r="Y696">
        <f>V696-W696</f>
        <v>2001.8099999999995</v>
      </c>
      <c r="Z696" s="12">
        <f>Y696/V696</f>
        <v>0.17213918283741877</v>
      </c>
      <c r="AA696" t="s">
        <v>32</v>
      </c>
      <c r="AB696" t="s">
        <v>33</v>
      </c>
      <c r="AC696" s="14" t="s">
        <v>2794</v>
      </c>
      <c r="AD696" t="s">
        <v>2782</v>
      </c>
      <c r="AE696" t="str">
        <f>PROPER(TRIM(AB696))</f>
        <v>Completed</v>
      </c>
      <c r="AS696" t="str">
        <f t="shared" si="12"/>
        <v/>
      </c>
    </row>
    <row r="697" spans="1:45">
      <c r="A697" t="s">
        <v>2164</v>
      </c>
      <c r="B697" s="7">
        <v>45474</v>
      </c>
      <c r="C697" s="4">
        <v>45474</v>
      </c>
      <c r="D697">
        <f>C697-B697</f>
        <v>0</v>
      </c>
      <c r="E697" t="str">
        <f>TEXT(B697,"mmmm")</f>
        <v>July</v>
      </c>
      <c r="F697">
        <f>YEAR(B697)</f>
        <v>2024</v>
      </c>
      <c r="G697" t="s">
        <v>2165</v>
      </c>
      <c r="H697" t="s">
        <v>128</v>
      </c>
      <c r="I697" t="s">
        <v>24</v>
      </c>
      <c r="J697" t="s">
        <v>63</v>
      </c>
      <c r="K697" t="s">
        <v>72</v>
      </c>
      <c r="L697" t="s">
        <v>73</v>
      </c>
      <c r="M697" t="s">
        <v>74</v>
      </c>
      <c r="N697" t="s">
        <v>274</v>
      </c>
      <c r="O697" t="s">
        <v>2166</v>
      </c>
      <c r="P697" t="s">
        <v>59</v>
      </c>
      <c r="Q697">
        <v>4</v>
      </c>
      <c r="R697">
        <v>257.39</v>
      </c>
      <c r="S697">
        <v>0</v>
      </c>
      <c r="T697" s="12">
        <f>S697</f>
        <v>0</v>
      </c>
      <c r="U697">
        <v>1029.56</v>
      </c>
      <c r="V697">
        <f>Q697*R697*(1-S697)</f>
        <v>1029.56</v>
      </c>
      <c r="W697">
        <v>626.33000000000004</v>
      </c>
      <c r="X697">
        <v>403.23</v>
      </c>
      <c r="Y697">
        <f>V697-W697</f>
        <v>403.2299999999999</v>
      </c>
      <c r="Z697" s="12">
        <f>Y697/V697</f>
        <v>0.39165274486188267</v>
      </c>
      <c r="AA697" t="s">
        <v>32</v>
      </c>
      <c r="AB697" t="s">
        <v>33</v>
      </c>
      <c r="AC697" s="14" t="s">
        <v>2794</v>
      </c>
      <c r="AD697" t="s">
        <v>2782</v>
      </c>
      <c r="AE697" t="str">
        <f>PROPER(TRIM(AB697))</f>
        <v>Completed</v>
      </c>
      <c r="AS697" t="str">
        <f t="shared" si="12"/>
        <v/>
      </c>
    </row>
    <row r="698" spans="1:45">
      <c r="A698" t="s">
        <v>2167</v>
      </c>
      <c r="B698" s="7">
        <v>45922</v>
      </c>
      <c r="C698" s="4">
        <v>45925</v>
      </c>
      <c r="D698">
        <f>C698-B698</f>
        <v>3</v>
      </c>
      <c r="E698" t="str">
        <f>TEXT(B698,"mmmm")</f>
        <v>September</v>
      </c>
      <c r="F698">
        <f>YEAR(B698)</f>
        <v>2025</v>
      </c>
      <c r="G698" t="s">
        <v>2168</v>
      </c>
      <c r="H698" t="s">
        <v>47</v>
      </c>
      <c r="I698" t="s">
        <v>37</v>
      </c>
      <c r="J698" t="s">
        <v>54</v>
      </c>
      <c r="K698" t="s">
        <v>185</v>
      </c>
      <c r="L698" t="s">
        <v>186</v>
      </c>
      <c r="M698" t="s">
        <v>74</v>
      </c>
      <c r="N698" t="s">
        <v>171</v>
      </c>
      <c r="O698" t="s">
        <v>2169</v>
      </c>
      <c r="P698" t="s">
        <v>2783</v>
      </c>
      <c r="Q698">
        <v>4</v>
      </c>
      <c r="R698">
        <v>1178.8399999999999</v>
      </c>
      <c r="S698">
        <v>0.25</v>
      </c>
      <c r="T698" s="12">
        <f>S698</f>
        <v>0.25</v>
      </c>
      <c r="U698">
        <v>3536.52</v>
      </c>
      <c r="V698">
        <f>Q698*R698*(1-S698)</f>
        <v>3536.5199999999995</v>
      </c>
      <c r="W698">
        <v>2102.41</v>
      </c>
      <c r="X698">
        <v>1363.28</v>
      </c>
      <c r="Y698">
        <f>V698-W698</f>
        <v>1434.1099999999997</v>
      </c>
      <c r="Z698" s="12">
        <f>Y698/V698</f>
        <v>0.40551446054313278</v>
      </c>
      <c r="AA698" t="s">
        <v>32</v>
      </c>
      <c r="AB698" t="s">
        <v>33</v>
      </c>
      <c r="AC698" s="10" t="s">
        <v>2795</v>
      </c>
      <c r="AD698" t="s">
        <v>2782</v>
      </c>
      <c r="AE698" t="str">
        <f>PROPER(TRIM(AB698))</f>
        <v>Completed</v>
      </c>
      <c r="AS698" t="str">
        <f t="shared" si="12"/>
        <v/>
      </c>
    </row>
    <row r="699" spans="1:45">
      <c r="A699" t="s">
        <v>2170</v>
      </c>
      <c r="B699" s="7">
        <v>45660</v>
      </c>
      <c r="C699" s="4">
        <v>45723</v>
      </c>
      <c r="D699">
        <f>C699-B699</f>
        <v>63</v>
      </c>
      <c r="E699" t="str">
        <f>TEXT(B699,"mmmm")</f>
        <v>January</v>
      </c>
      <c r="F699">
        <f>YEAR(B699)</f>
        <v>2025</v>
      </c>
      <c r="G699" t="s">
        <v>2171</v>
      </c>
      <c r="H699" t="s">
        <v>53</v>
      </c>
      <c r="I699" t="s">
        <v>90</v>
      </c>
      <c r="J699" t="s">
        <v>54</v>
      </c>
      <c r="K699" t="s">
        <v>84</v>
      </c>
      <c r="L699" t="s">
        <v>85</v>
      </c>
      <c r="M699" t="s">
        <v>28</v>
      </c>
      <c r="N699" t="s">
        <v>91</v>
      </c>
      <c r="O699" t="s">
        <v>2172</v>
      </c>
      <c r="P699" t="s">
        <v>50</v>
      </c>
      <c r="Q699">
        <v>7</v>
      </c>
      <c r="R699">
        <v>567.15</v>
      </c>
      <c r="S699">
        <v>0</v>
      </c>
      <c r="T699" s="12">
        <f>S699</f>
        <v>0</v>
      </c>
      <c r="U699">
        <v>2977.54</v>
      </c>
      <c r="V699">
        <f>Q699*R699*(1-S699)</f>
        <v>3970.0499999999997</v>
      </c>
      <c r="W699">
        <v>1849.3</v>
      </c>
      <c r="X699">
        <v>1128.24</v>
      </c>
      <c r="Y699">
        <f>V699-W699</f>
        <v>2120.75</v>
      </c>
      <c r="Z699" s="12">
        <f>Y699/V699</f>
        <v>0.53418722686112274</v>
      </c>
      <c r="AA699" t="s">
        <v>102</v>
      </c>
      <c r="AB699" t="s">
        <v>103</v>
      </c>
      <c r="AC699" s="14" t="s">
        <v>2794</v>
      </c>
      <c r="AD699" t="s">
        <v>2782</v>
      </c>
      <c r="AE699" t="str">
        <f>PROPER(TRIM(AB699))</f>
        <v>Returned</v>
      </c>
      <c r="AS699" t="str">
        <f t="shared" si="12"/>
        <v/>
      </c>
    </row>
    <row r="700" spans="1:45">
      <c r="A700" t="s">
        <v>2173</v>
      </c>
      <c r="B700" s="7">
        <v>45549</v>
      </c>
      <c r="C700" s="4">
        <v>45549</v>
      </c>
      <c r="D700">
        <f>C700-B700</f>
        <v>0</v>
      </c>
      <c r="E700" t="str">
        <f>TEXT(B700,"mmmm")</f>
        <v>September</v>
      </c>
      <c r="F700">
        <f>YEAR(B700)</f>
        <v>2024</v>
      </c>
      <c r="G700" t="s">
        <v>2174</v>
      </c>
      <c r="H700" t="s">
        <v>36</v>
      </c>
      <c r="I700" t="s">
        <v>90</v>
      </c>
      <c r="J700" t="s">
        <v>25</v>
      </c>
      <c r="K700" t="s">
        <v>26</v>
      </c>
      <c r="L700" t="s">
        <v>27</v>
      </c>
      <c r="M700" t="s">
        <v>74</v>
      </c>
      <c r="N700" t="s">
        <v>274</v>
      </c>
      <c r="O700" t="s">
        <v>2175</v>
      </c>
      <c r="P700" t="s">
        <v>59</v>
      </c>
      <c r="Q700">
        <v>8</v>
      </c>
      <c r="R700">
        <v>4081.66</v>
      </c>
      <c r="S700">
        <v>0.15</v>
      </c>
      <c r="T700" s="12">
        <f>S700</f>
        <v>0.15</v>
      </c>
      <c r="U700">
        <v>28208.1</v>
      </c>
      <c r="V700">
        <f>Q700*R700*(1-S700)</f>
        <v>27755.287999999997</v>
      </c>
      <c r="W700">
        <v>23751.91</v>
      </c>
      <c r="X700">
        <v>4003.38</v>
      </c>
      <c r="Y700">
        <f>V700-W700</f>
        <v>4003.377999999997</v>
      </c>
      <c r="Z700" s="12">
        <f>Y700/V700</f>
        <v>0.14423838801456493</v>
      </c>
      <c r="AA700" t="s">
        <v>32</v>
      </c>
      <c r="AB700" t="s">
        <v>103</v>
      </c>
      <c r="AC700" s="14" t="s">
        <v>2794</v>
      </c>
      <c r="AD700" t="s">
        <v>2782</v>
      </c>
      <c r="AE700" t="str">
        <f>PROPER(TRIM(AB700))</f>
        <v>Returned</v>
      </c>
      <c r="AS700" t="str">
        <f t="shared" si="12"/>
        <v/>
      </c>
    </row>
    <row r="701" spans="1:45">
      <c r="A701" t="s">
        <v>2176</v>
      </c>
      <c r="B701" s="7">
        <v>45454</v>
      </c>
      <c r="C701" s="4">
        <v>45454</v>
      </c>
      <c r="D701">
        <f>C701-B701</f>
        <v>0</v>
      </c>
      <c r="E701" t="str">
        <f>TEXT(B701,"mmmm")</f>
        <v>June</v>
      </c>
      <c r="F701">
        <f>YEAR(B701)</f>
        <v>2024</v>
      </c>
      <c r="G701" t="s">
        <v>2177</v>
      </c>
      <c r="H701" t="s">
        <v>53</v>
      </c>
      <c r="I701" t="s">
        <v>37</v>
      </c>
      <c r="J701" t="s">
        <v>54</v>
      </c>
      <c r="K701" t="s">
        <v>175</v>
      </c>
      <c r="L701" t="s">
        <v>176</v>
      </c>
      <c r="M701" t="s">
        <v>41</v>
      </c>
      <c r="N701" t="s">
        <v>158</v>
      </c>
      <c r="O701" t="s">
        <v>2178</v>
      </c>
      <c r="P701" t="s">
        <v>59</v>
      </c>
      <c r="Q701">
        <v>9</v>
      </c>
      <c r="R701">
        <v>1400.11</v>
      </c>
      <c r="S701">
        <v>0.25</v>
      </c>
      <c r="T701" s="12">
        <f>S701</f>
        <v>0.25</v>
      </c>
      <c r="U701">
        <v>9450.74</v>
      </c>
      <c r="V701">
        <f>Q701*R701*(1-S701)</f>
        <v>9450.7425000000003</v>
      </c>
      <c r="W701">
        <v>7798.56</v>
      </c>
      <c r="X701">
        <v>1652.18</v>
      </c>
      <c r="Y701">
        <f>V701-W701</f>
        <v>1652.1824999999999</v>
      </c>
      <c r="Z701" s="12">
        <f>Y701/V701</f>
        <v>0.17482039109625511</v>
      </c>
      <c r="AA701" t="s">
        <v>32</v>
      </c>
      <c r="AB701" t="s">
        <v>33</v>
      </c>
      <c r="AC701" s="14" t="s">
        <v>2794</v>
      </c>
      <c r="AD701" t="s">
        <v>2782</v>
      </c>
      <c r="AE701" t="str">
        <f>PROPER(TRIM(AB701))</f>
        <v>Completed</v>
      </c>
      <c r="AS701" t="str">
        <f t="shared" si="12"/>
        <v/>
      </c>
    </row>
    <row r="702" spans="1:45">
      <c r="A702" t="s">
        <v>2179</v>
      </c>
      <c r="B702" s="7">
        <v>45553</v>
      </c>
      <c r="C702" s="4">
        <v>45556</v>
      </c>
      <c r="D702">
        <f>C702-B702</f>
        <v>3</v>
      </c>
      <c r="E702" t="str">
        <f>TEXT(B702,"mmmm")</f>
        <v>September</v>
      </c>
      <c r="F702">
        <f>YEAR(B702)</f>
        <v>2024</v>
      </c>
      <c r="G702" t="s">
        <v>2180</v>
      </c>
      <c r="H702" t="s">
        <v>79</v>
      </c>
      <c r="I702" t="s">
        <v>90</v>
      </c>
      <c r="J702" t="s">
        <v>38</v>
      </c>
      <c r="K702" t="s">
        <v>99</v>
      </c>
      <c r="L702" t="s">
        <v>100</v>
      </c>
      <c r="M702" t="s">
        <v>74</v>
      </c>
      <c r="N702" t="s">
        <v>274</v>
      </c>
      <c r="O702" t="s">
        <v>2181</v>
      </c>
      <c r="P702" t="s">
        <v>59</v>
      </c>
      <c r="Q702">
        <v>3</v>
      </c>
      <c r="R702">
        <v>3055.9</v>
      </c>
      <c r="S702">
        <v>0.15</v>
      </c>
      <c r="T702" s="12">
        <f>S702</f>
        <v>0.15</v>
      </c>
      <c r="U702">
        <v>7792.55</v>
      </c>
      <c r="V702">
        <f>Q702*R702*(1-S702)</f>
        <v>7792.5450000000001</v>
      </c>
      <c r="W702">
        <v>4691.7299999999996</v>
      </c>
      <c r="X702">
        <v>3100.82</v>
      </c>
      <c r="Y702">
        <f>V702-W702</f>
        <v>3100.8150000000005</v>
      </c>
      <c r="Z702" s="12">
        <f>Y702/V702</f>
        <v>0.39792070498149201</v>
      </c>
      <c r="AA702" t="s">
        <v>32</v>
      </c>
      <c r="AB702" t="s">
        <v>33</v>
      </c>
      <c r="AC702" s="14" t="s">
        <v>2794</v>
      </c>
      <c r="AD702" t="s">
        <v>2782</v>
      </c>
      <c r="AE702" t="str">
        <f>PROPER(TRIM(AB702))</f>
        <v>Completed</v>
      </c>
      <c r="AS702" t="str">
        <f t="shared" si="12"/>
        <v/>
      </c>
    </row>
    <row r="703" spans="1:45">
      <c r="A703" t="s">
        <v>2182</v>
      </c>
      <c r="B703" s="7">
        <v>45412</v>
      </c>
      <c r="C703" s="4">
        <v>45416</v>
      </c>
      <c r="D703">
        <f>C703-B703</f>
        <v>4</v>
      </c>
      <c r="E703" t="str">
        <f>TEXT(B703,"mmmm")</f>
        <v>April</v>
      </c>
      <c r="F703">
        <f>YEAR(B703)</f>
        <v>2024</v>
      </c>
      <c r="G703" t="s">
        <v>2183</v>
      </c>
      <c r="H703" t="s">
        <v>141</v>
      </c>
      <c r="I703" t="s">
        <v>37</v>
      </c>
      <c r="J703" t="s">
        <v>63</v>
      </c>
      <c r="K703" t="s">
        <v>180</v>
      </c>
      <c r="L703" t="s">
        <v>181</v>
      </c>
      <c r="M703" t="s">
        <v>28</v>
      </c>
      <c r="N703" t="s">
        <v>48</v>
      </c>
      <c r="O703" t="s">
        <v>2184</v>
      </c>
      <c r="P703" t="s">
        <v>44</v>
      </c>
      <c r="Q703">
        <v>7</v>
      </c>
      <c r="R703">
        <v>1224.94</v>
      </c>
      <c r="S703">
        <v>0</v>
      </c>
      <c r="T703" s="12">
        <f>S703</f>
        <v>0</v>
      </c>
      <c r="U703">
        <v>8574.58</v>
      </c>
      <c r="V703">
        <f>Q703*R703*(1-S703)</f>
        <v>8574.58</v>
      </c>
      <c r="W703">
        <v>6685.81</v>
      </c>
      <c r="X703">
        <v>1888.77</v>
      </c>
      <c r="Y703">
        <f>V703-W703</f>
        <v>1888.7699999999995</v>
      </c>
      <c r="Z703" s="12">
        <f>Y703/V703</f>
        <v>0.22027551203674112</v>
      </c>
      <c r="AA703" t="s">
        <v>32</v>
      </c>
      <c r="AB703" t="s">
        <v>103</v>
      </c>
      <c r="AC703" s="14" t="s">
        <v>2794</v>
      </c>
      <c r="AD703" t="s">
        <v>2782</v>
      </c>
      <c r="AE703" t="str">
        <f>PROPER(TRIM(AB703))</f>
        <v>Returned</v>
      </c>
      <c r="AS703" t="str">
        <f t="shared" si="12"/>
        <v/>
      </c>
    </row>
    <row r="704" spans="1:45">
      <c r="A704" t="s">
        <v>2185</v>
      </c>
      <c r="B704" s="7">
        <v>45690</v>
      </c>
      <c r="C704" s="4">
        <v>45810</v>
      </c>
      <c r="D704">
        <f>C704-B704</f>
        <v>120</v>
      </c>
      <c r="E704" t="str">
        <f>TEXT(B704,"mmmm")</f>
        <v>February</v>
      </c>
      <c r="F704">
        <f>YEAR(B704)</f>
        <v>2025</v>
      </c>
      <c r="G704" t="s">
        <v>2186</v>
      </c>
      <c r="H704" t="s">
        <v>23</v>
      </c>
      <c r="I704" t="s">
        <v>37</v>
      </c>
      <c r="J704" t="s">
        <v>63</v>
      </c>
      <c r="K704" t="s">
        <v>26</v>
      </c>
      <c r="L704" t="s">
        <v>109</v>
      </c>
      <c r="M704" t="s">
        <v>41</v>
      </c>
      <c r="N704" t="s">
        <v>42</v>
      </c>
      <c r="O704" t="s">
        <v>2187</v>
      </c>
      <c r="P704" t="s">
        <v>31</v>
      </c>
      <c r="Q704">
        <v>3</v>
      </c>
      <c r="R704">
        <v>997.34</v>
      </c>
      <c r="S704">
        <v>0.1</v>
      </c>
      <c r="T704" s="12">
        <f>S704</f>
        <v>0.1</v>
      </c>
      <c r="U704">
        <v>2692.82</v>
      </c>
      <c r="V704">
        <f>Q704*R704*(1-S704)</f>
        <v>2692.8180000000002</v>
      </c>
      <c r="W704">
        <v>1820.08</v>
      </c>
      <c r="X704">
        <v>872.74</v>
      </c>
      <c r="Y704">
        <f>V704-W704</f>
        <v>872.73800000000028</v>
      </c>
      <c r="Z704" s="12">
        <f>Y704/V704</f>
        <v>0.32409839803506968</v>
      </c>
      <c r="AA704" t="s">
        <v>32</v>
      </c>
      <c r="AB704" t="s">
        <v>33</v>
      </c>
      <c r="AC704" s="14" t="s">
        <v>2794</v>
      </c>
      <c r="AD704" t="s">
        <v>2782</v>
      </c>
      <c r="AE704" t="str">
        <f>PROPER(TRIM(AB704))</f>
        <v>Completed</v>
      </c>
      <c r="AS704" t="str">
        <f t="shared" si="12"/>
        <v/>
      </c>
    </row>
    <row r="705" spans="1:45">
      <c r="A705" t="s">
        <v>2188</v>
      </c>
      <c r="B705" s="7">
        <v>45584</v>
      </c>
      <c r="C705" s="4">
        <v>45585</v>
      </c>
      <c r="D705">
        <f>C705-B705</f>
        <v>1</v>
      </c>
      <c r="E705" t="str">
        <f>TEXT(B705,"mmmm")</f>
        <v>October</v>
      </c>
      <c r="F705">
        <f>YEAR(B705)</f>
        <v>2024</v>
      </c>
      <c r="G705" t="s">
        <v>2189</v>
      </c>
      <c r="H705" t="s">
        <v>89</v>
      </c>
      <c r="I705" t="s">
        <v>90</v>
      </c>
      <c r="J705" t="s">
        <v>25</v>
      </c>
      <c r="K705" t="s">
        <v>26</v>
      </c>
      <c r="L705" t="s">
        <v>27</v>
      </c>
      <c r="M705" t="s">
        <v>41</v>
      </c>
      <c r="N705" t="s">
        <v>42</v>
      </c>
      <c r="O705" t="s">
        <v>2190</v>
      </c>
      <c r="P705" t="s">
        <v>50</v>
      </c>
      <c r="Q705">
        <v>1</v>
      </c>
      <c r="R705">
        <v>1150.03</v>
      </c>
      <c r="S705">
        <v>0.1</v>
      </c>
      <c r="T705" s="12">
        <f>S705</f>
        <v>0.1</v>
      </c>
      <c r="U705">
        <v>1035.03</v>
      </c>
      <c r="V705">
        <f>Q705*R705*(1-S705)</f>
        <v>1035.027</v>
      </c>
      <c r="W705">
        <v>854.35</v>
      </c>
      <c r="X705">
        <v>180.68</v>
      </c>
      <c r="Y705">
        <f>V705-W705</f>
        <v>180.67700000000002</v>
      </c>
      <c r="Z705" s="12">
        <f>Y705/V705</f>
        <v>0.1745625959516032</v>
      </c>
      <c r="AA705" t="s">
        <v>32</v>
      </c>
      <c r="AB705" t="s">
        <v>33</v>
      </c>
      <c r="AC705" s="14" t="s">
        <v>2794</v>
      </c>
      <c r="AD705" t="s">
        <v>2782</v>
      </c>
      <c r="AE705" t="str">
        <f>PROPER(TRIM(AB705))</f>
        <v>Completed</v>
      </c>
      <c r="AS705" t="str">
        <f t="shared" si="12"/>
        <v/>
      </c>
    </row>
    <row r="706" spans="1:45">
      <c r="A706" t="s">
        <v>2191</v>
      </c>
      <c r="B706" s="7">
        <v>45364</v>
      </c>
      <c r="C706" s="4">
        <v>45371</v>
      </c>
      <c r="D706">
        <f>C706-B706</f>
        <v>7</v>
      </c>
      <c r="E706" t="str">
        <f>TEXT(B706,"mmmm")</f>
        <v>March</v>
      </c>
      <c r="F706">
        <f>YEAR(B706)</f>
        <v>2024</v>
      </c>
      <c r="G706" t="s">
        <v>2192</v>
      </c>
      <c r="H706" t="s">
        <v>114</v>
      </c>
      <c r="I706" t="s">
        <v>95</v>
      </c>
      <c r="J706" t="s">
        <v>54</v>
      </c>
      <c r="K706" t="s">
        <v>247</v>
      </c>
      <c r="L706" t="s">
        <v>248</v>
      </c>
      <c r="M706" t="s">
        <v>41</v>
      </c>
      <c r="N706" t="s">
        <v>158</v>
      </c>
      <c r="O706" t="s">
        <v>2193</v>
      </c>
      <c r="P706" t="s">
        <v>2783</v>
      </c>
      <c r="Q706">
        <v>1</v>
      </c>
      <c r="R706">
        <v>2825.63</v>
      </c>
      <c r="S706">
        <v>0.15</v>
      </c>
      <c r="T706" s="12">
        <f>S706</f>
        <v>0.15</v>
      </c>
      <c r="U706">
        <v>2401.79</v>
      </c>
      <c r="V706">
        <f>Q706*R706*(1-S706)</f>
        <v>2401.7855</v>
      </c>
      <c r="W706">
        <v>1820.34</v>
      </c>
      <c r="X706">
        <v>581.45000000000005</v>
      </c>
      <c r="Y706">
        <f>V706-W706</f>
        <v>581.44550000000004</v>
      </c>
      <c r="Z706" s="12">
        <f>Y706/V706</f>
        <v>0.24208885431276025</v>
      </c>
      <c r="AA706" t="s">
        <v>32</v>
      </c>
      <c r="AB706" t="s">
        <v>33</v>
      </c>
      <c r="AC706" s="10" t="s">
        <v>2795</v>
      </c>
      <c r="AD706" t="s">
        <v>2782</v>
      </c>
      <c r="AE706" t="str">
        <f>PROPER(TRIM(AB706))</f>
        <v>Completed</v>
      </c>
      <c r="AS706" t="str">
        <f t="shared" si="12"/>
        <v/>
      </c>
    </row>
    <row r="707" spans="1:45">
      <c r="A707" t="s">
        <v>2194</v>
      </c>
      <c r="B707" s="7">
        <v>45543</v>
      </c>
      <c r="C707" s="4">
        <v>45549</v>
      </c>
      <c r="D707">
        <f>C707-B707</f>
        <v>6</v>
      </c>
      <c r="E707" t="str">
        <f>TEXT(B707,"mmmm")</f>
        <v>September</v>
      </c>
      <c r="F707">
        <f>YEAR(B707)</f>
        <v>2024</v>
      </c>
      <c r="G707" t="s">
        <v>2195</v>
      </c>
      <c r="H707" t="s">
        <v>141</v>
      </c>
      <c r="I707" t="s">
        <v>24</v>
      </c>
      <c r="J707" t="s">
        <v>25</v>
      </c>
      <c r="K707" t="s">
        <v>26</v>
      </c>
      <c r="L707" t="s">
        <v>27</v>
      </c>
      <c r="M707" t="s">
        <v>28</v>
      </c>
      <c r="N707" t="s">
        <v>153</v>
      </c>
      <c r="O707" t="s">
        <v>2196</v>
      </c>
      <c r="P707" t="s">
        <v>59</v>
      </c>
      <c r="Q707">
        <v>5</v>
      </c>
      <c r="R707">
        <v>3371.75</v>
      </c>
      <c r="S707">
        <v>0.05</v>
      </c>
      <c r="T707" s="12">
        <f>S707</f>
        <v>0.05</v>
      </c>
      <c r="U707">
        <v>16015.81</v>
      </c>
      <c r="V707">
        <f>Q707*R707*(1-S707)</f>
        <v>16015.8125</v>
      </c>
      <c r="W707">
        <v>11352.38</v>
      </c>
      <c r="X707">
        <v>4663.43</v>
      </c>
      <c r="Y707">
        <f>V707-W707</f>
        <v>4663.4325000000008</v>
      </c>
      <c r="Z707" s="12">
        <f>Y707/V707</f>
        <v>0.29117676671102394</v>
      </c>
      <c r="AA707" t="s">
        <v>32</v>
      </c>
      <c r="AB707" t="s">
        <v>33</v>
      </c>
      <c r="AC707" s="14" t="s">
        <v>2794</v>
      </c>
      <c r="AD707" t="s">
        <v>2782</v>
      </c>
      <c r="AE707" t="str">
        <f>PROPER(TRIM(AB707))</f>
        <v>Completed</v>
      </c>
      <c r="AS707" t="str">
        <f t="shared" ref="AS707:AS770" si="13">PROPER(TRIM(AD707))</f>
        <v/>
      </c>
    </row>
    <row r="708" spans="1:45">
      <c r="A708" t="s">
        <v>2197</v>
      </c>
      <c r="B708" s="7">
        <v>45467</v>
      </c>
      <c r="C708" s="4">
        <v>45471</v>
      </c>
      <c r="D708">
        <f>C708-B708</f>
        <v>4</v>
      </c>
      <c r="E708" t="str">
        <f>TEXT(B708,"mmmm")</f>
        <v>June</v>
      </c>
      <c r="F708">
        <f>YEAR(B708)</f>
        <v>2024</v>
      </c>
      <c r="G708" t="s">
        <v>2198</v>
      </c>
      <c r="H708" t="s">
        <v>47</v>
      </c>
      <c r="I708" t="s">
        <v>37</v>
      </c>
      <c r="J708" t="s">
        <v>38</v>
      </c>
      <c r="K708" t="s">
        <v>39</v>
      </c>
      <c r="L708" t="s">
        <v>40</v>
      </c>
      <c r="M708" t="s">
        <v>28</v>
      </c>
      <c r="N708" t="s">
        <v>29</v>
      </c>
      <c r="O708" t="s">
        <v>2199</v>
      </c>
      <c r="P708" t="s">
        <v>44</v>
      </c>
      <c r="Q708">
        <v>1</v>
      </c>
      <c r="R708">
        <v>2112.75</v>
      </c>
      <c r="S708">
        <v>0.1</v>
      </c>
      <c r="T708" s="12">
        <f>S708</f>
        <v>0.1</v>
      </c>
      <c r="U708">
        <v>1901.48</v>
      </c>
      <c r="V708">
        <f>Q708*R708*(1-S708)</f>
        <v>1901.4750000000001</v>
      </c>
      <c r="W708">
        <v>1354.28</v>
      </c>
      <c r="X708">
        <v>547.20000000000005</v>
      </c>
      <c r="Y708">
        <f>V708-W708</f>
        <v>547.19500000000016</v>
      </c>
      <c r="Z708" s="12">
        <f>Y708/V708</f>
        <v>0.28777396494826391</v>
      </c>
      <c r="AA708" t="s">
        <v>32</v>
      </c>
      <c r="AB708" t="s">
        <v>33</v>
      </c>
      <c r="AC708" s="14" t="s">
        <v>2794</v>
      </c>
      <c r="AD708" t="s">
        <v>2782</v>
      </c>
      <c r="AE708" t="str">
        <f>PROPER(TRIM(AB708))</f>
        <v>Completed</v>
      </c>
      <c r="AS708" t="str">
        <f t="shared" si="13"/>
        <v/>
      </c>
    </row>
    <row r="709" spans="1:45">
      <c r="A709" t="s">
        <v>2200</v>
      </c>
      <c r="B709" s="7">
        <v>45832</v>
      </c>
      <c r="C709" s="4">
        <v>45834</v>
      </c>
      <c r="D709">
        <f>C709-B709</f>
        <v>2</v>
      </c>
      <c r="E709" t="str">
        <f>TEXT(B709,"mmmm")</f>
        <v>June</v>
      </c>
      <c r="F709">
        <f>YEAR(B709)</f>
        <v>2025</v>
      </c>
      <c r="G709" t="s">
        <v>2201</v>
      </c>
      <c r="H709" t="s">
        <v>71</v>
      </c>
      <c r="I709" t="s">
        <v>24</v>
      </c>
      <c r="J709" t="s">
        <v>25</v>
      </c>
      <c r="K709" t="s">
        <v>26</v>
      </c>
      <c r="L709" t="s">
        <v>27</v>
      </c>
      <c r="M709" t="s">
        <v>74</v>
      </c>
      <c r="N709" t="s">
        <v>75</v>
      </c>
      <c r="O709" t="s">
        <v>2202</v>
      </c>
      <c r="P709" t="s">
        <v>44</v>
      </c>
      <c r="Q709">
        <v>5</v>
      </c>
      <c r="R709">
        <v>3722.66</v>
      </c>
      <c r="S709">
        <v>0.55000000000000004</v>
      </c>
      <c r="T709" s="12">
        <f>S709</f>
        <v>0.55000000000000004</v>
      </c>
      <c r="U709">
        <v>16751.97</v>
      </c>
      <c r="V709">
        <f>Q709*R709*(1-S709)</f>
        <v>8375.9849999999988</v>
      </c>
      <c r="W709">
        <v>11678.32</v>
      </c>
      <c r="X709">
        <v>5073.6499999999996</v>
      </c>
      <c r="Y709">
        <f>V709-W709</f>
        <v>-3302.3350000000009</v>
      </c>
      <c r="Z709" s="12">
        <f>Y709/V709</f>
        <v>-0.39426228676388525</v>
      </c>
      <c r="AA709" t="s">
        <v>32</v>
      </c>
      <c r="AB709" t="s">
        <v>33</v>
      </c>
      <c r="AC709" s="14" t="s">
        <v>2794</v>
      </c>
      <c r="AD709" t="s">
        <v>2782</v>
      </c>
      <c r="AE709" t="str">
        <f>PROPER(TRIM(AB709))</f>
        <v>Completed</v>
      </c>
      <c r="AS709" t="str">
        <f t="shared" si="13"/>
        <v/>
      </c>
    </row>
    <row r="710" spans="1:45">
      <c r="A710" t="s">
        <v>2203</v>
      </c>
      <c r="B710" s="7">
        <v>45736</v>
      </c>
      <c r="C710" s="4">
        <v>45742</v>
      </c>
      <c r="D710">
        <f>C710-B710</f>
        <v>6</v>
      </c>
      <c r="E710" t="str">
        <f>TEXT(B710,"mmmm")</f>
        <v>March</v>
      </c>
      <c r="F710">
        <f>YEAR(B710)</f>
        <v>2025</v>
      </c>
      <c r="G710" t="s">
        <v>2204</v>
      </c>
      <c r="H710" t="s">
        <v>132</v>
      </c>
      <c r="I710" t="s">
        <v>24</v>
      </c>
      <c r="J710" t="s">
        <v>38</v>
      </c>
      <c r="K710" t="s">
        <v>166</v>
      </c>
      <c r="L710" t="s">
        <v>167</v>
      </c>
      <c r="M710" t="s">
        <v>41</v>
      </c>
      <c r="N710" t="s">
        <v>158</v>
      </c>
      <c r="O710" t="s">
        <v>2205</v>
      </c>
      <c r="P710" t="s">
        <v>50</v>
      </c>
      <c r="Q710">
        <v>4</v>
      </c>
      <c r="R710">
        <v>4357.66</v>
      </c>
      <c r="S710">
        <v>0.05</v>
      </c>
      <c r="T710" s="12">
        <f>S710</f>
        <v>0.05</v>
      </c>
      <c r="U710">
        <v>16559.11</v>
      </c>
      <c r="V710">
        <f>Q710*R710*(1-S710)</f>
        <v>16559.108</v>
      </c>
      <c r="W710">
        <v>13233.79</v>
      </c>
      <c r="X710">
        <v>3325.32</v>
      </c>
      <c r="Y710">
        <f>V710-W710</f>
        <v>3325.3179999999993</v>
      </c>
      <c r="Z710" s="12">
        <f>Y710/V710</f>
        <v>0.20081504390212318</v>
      </c>
      <c r="AA710" t="s">
        <v>32</v>
      </c>
      <c r="AB710" t="s">
        <v>33</v>
      </c>
      <c r="AC710" s="14" t="s">
        <v>2794</v>
      </c>
      <c r="AD710" t="s">
        <v>2782</v>
      </c>
      <c r="AE710" t="str">
        <f>PROPER(TRIM(AB710))</f>
        <v>Completed</v>
      </c>
      <c r="AS710" t="str">
        <f t="shared" si="13"/>
        <v/>
      </c>
    </row>
    <row r="711" spans="1:45">
      <c r="A711" t="s">
        <v>2206</v>
      </c>
      <c r="B711" s="7">
        <v>45676</v>
      </c>
      <c r="C711" s="4">
        <v>45680</v>
      </c>
      <c r="D711">
        <f>C711-B711</f>
        <v>4</v>
      </c>
      <c r="E711" t="str">
        <f>TEXT(B711,"mmmm")</f>
        <v>January</v>
      </c>
      <c r="F711">
        <f>YEAR(B711)</f>
        <v>2025</v>
      </c>
      <c r="G711" t="s">
        <v>2207</v>
      </c>
      <c r="H711" t="s">
        <v>264</v>
      </c>
      <c r="I711" t="s">
        <v>95</v>
      </c>
      <c r="J711" t="s">
        <v>25</v>
      </c>
      <c r="K711" t="s">
        <v>122</v>
      </c>
      <c r="L711" t="s">
        <v>123</v>
      </c>
      <c r="M711" t="s">
        <v>74</v>
      </c>
      <c r="N711" t="s">
        <v>171</v>
      </c>
      <c r="O711" t="s">
        <v>2208</v>
      </c>
      <c r="P711" t="s">
        <v>44</v>
      </c>
      <c r="Q711">
        <v>7</v>
      </c>
      <c r="R711">
        <v>1363.04</v>
      </c>
      <c r="S711">
        <v>0.15</v>
      </c>
      <c r="T711" s="12">
        <f>S711</f>
        <v>0.15</v>
      </c>
      <c r="U711">
        <v>8110.09</v>
      </c>
      <c r="V711">
        <f>Q711*R711*(1-S711)</f>
        <v>8110.0879999999988</v>
      </c>
      <c r="W711">
        <v>6417.32</v>
      </c>
      <c r="X711">
        <v>1692.77</v>
      </c>
      <c r="Y711">
        <f>V711-W711</f>
        <v>1692.7679999999991</v>
      </c>
      <c r="Z711" s="12">
        <f>Y711/V711</f>
        <v>0.2087237524426368</v>
      </c>
      <c r="AA711" t="s">
        <v>32</v>
      </c>
      <c r="AB711" t="s">
        <v>68</v>
      </c>
      <c r="AC711" s="14" t="s">
        <v>2794</v>
      </c>
      <c r="AD711" t="s">
        <v>2782</v>
      </c>
      <c r="AE711" t="str">
        <f>PROPER(TRIM(AB711))</f>
        <v>Cancelled</v>
      </c>
      <c r="AS711" t="str">
        <f t="shared" si="13"/>
        <v/>
      </c>
    </row>
    <row r="712" spans="1:45">
      <c r="A712" t="s">
        <v>2209</v>
      </c>
      <c r="B712" s="7">
        <v>45633</v>
      </c>
      <c r="C712" s="4">
        <v>45492</v>
      </c>
      <c r="D712" s="10">
        <f>C712-B712</f>
        <v>-141</v>
      </c>
      <c r="E712" t="str">
        <f>TEXT(B712,"mmmm")</f>
        <v>December</v>
      </c>
      <c r="F712">
        <f>YEAR(B712)</f>
        <v>2024</v>
      </c>
      <c r="G712" t="s">
        <v>2210</v>
      </c>
      <c r="H712" t="s">
        <v>71</v>
      </c>
      <c r="I712" t="s">
        <v>90</v>
      </c>
      <c r="J712" t="s">
        <v>25</v>
      </c>
      <c r="K712" t="s">
        <v>122</v>
      </c>
      <c r="L712" t="s">
        <v>123</v>
      </c>
      <c r="M712" t="s">
        <v>28</v>
      </c>
      <c r="N712" t="s">
        <v>48</v>
      </c>
      <c r="O712" t="s">
        <v>2211</v>
      </c>
      <c r="P712" t="s">
        <v>31</v>
      </c>
      <c r="Q712">
        <v>5</v>
      </c>
      <c r="R712">
        <v>1559.16</v>
      </c>
      <c r="S712">
        <v>0.05</v>
      </c>
      <c r="T712" s="12">
        <f>S712</f>
        <v>0.05</v>
      </c>
      <c r="U712">
        <v>7406.01</v>
      </c>
      <c r="V712">
        <f>Q712*R712*(1-S712)</f>
        <v>7406.01</v>
      </c>
      <c r="W712">
        <v>5941.74</v>
      </c>
      <c r="X712">
        <v>1464.27</v>
      </c>
      <c r="Y712">
        <f>V712-W712</f>
        <v>1464.2700000000004</v>
      </c>
      <c r="Z712" s="12">
        <f>Y712/V712</f>
        <v>0.19771374869869207</v>
      </c>
      <c r="AA712" t="s">
        <v>32</v>
      </c>
      <c r="AB712" t="s">
        <v>33</v>
      </c>
      <c r="AC712" s="10" t="s">
        <v>2792</v>
      </c>
      <c r="AD712" t="s">
        <v>2782</v>
      </c>
      <c r="AE712" t="str">
        <f>PROPER(TRIM(AB712))</f>
        <v>Completed</v>
      </c>
      <c r="AS712" t="str">
        <f t="shared" si="13"/>
        <v/>
      </c>
    </row>
    <row r="713" spans="1:45">
      <c r="A713" t="s">
        <v>2212</v>
      </c>
      <c r="B713" s="7">
        <v>45690</v>
      </c>
      <c r="C713" s="4">
        <v>45690</v>
      </c>
      <c r="D713">
        <f>C713-B713</f>
        <v>0</v>
      </c>
      <c r="E713" t="str">
        <f>TEXT(B713,"mmmm")</f>
        <v>February</v>
      </c>
      <c r="F713">
        <f>YEAR(B713)</f>
        <v>2025</v>
      </c>
      <c r="G713" t="s">
        <v>2213</v>
      </c>
      <c r="H713" t="s">
        <v>264</v>
      </c>
      <c r="I713" t="s">
        <v>90</v>
      </c>
      <c r="J713" t="s">
        <v>38</v>
      </c>
      <c r="K713" t="s">
        <v>99</v>
      </c>
      <c r="L713" t="s">
        <v>100</v>
      </c>
      <c r="M713" t="s">
        <v>74</v>
      </c>
      <c r="N713" t="s">
        <v>274</v>
      </c>
      <c r="O713" t="s">
        <v>2214</v>
      </c>
      <c r="P713" t="s">
        <v>50</v>
      </c>
      <c r="Q713">
        <v>1</v>
      </c>
      <c r="R713">
        <v>4326.75</v>
      </c>
      <c r="S713">
        <v>0.05</v>
      </c>
      <c r="T713" s="12">
        <f>S713</f>
        <v>0.05</v>
      </c>
      <c r="U713">
        <v>4110.41</v>
      </c>
      <c r="V713">
        <f>Q713*R713*(1-S713)</f>
        <v>4110.4124999999995</v>
      </c>
      <c r="W713">
        <v>2394.14</v>
      </c>
      <c r="X713">
        <v>1716.27</v>
      </c>
      <c r="Y713">
        <f>V713-W713</f>
        <v>1716.2724999999996</v>
      </c>
      <c r="Z713" s="12">
        <f>Y713/V713</f>
        <v>0.41754264322619683</v>
      </c>
      <c r="AA713" t="s">
        <v>111</v>
      </c>
      <c r="AB713" t="s">
        <v>103</v>
      </c>
      <c r="AC713" s="14" t="s">
        <v>2794</v>
      </c>
      <c r="AD713" t="s">
        <v>2782</v>
      </c>
      <c r="AE713" t="str">
        <f>PROPER(TRIM(AB713))</f>
        <v>Returned</v>
      </c>
      <c r="AS713" t="str">
        <f t="shared" si="13"/>
        <v/>
      </c>
    </row>
    <row r="714" spans="1:45">
      <c r="A714" t="s">
        <v>2215</v>
      </c>
      <c r="B714" s="7">
        <v>45332</v>
      </c>
      <c r="C714" s="4">
        <v>45340</v>
      </c>
      <c r="D714">
        <f>C714-B714</f>
        <v>8</v>
      </c>
      <c r="E714" t="str">
        <f>TEXT(B714,"mmmm")</f>
        <v>February</v>
      </c>
      <c r="F714">
        <f>YEAR(B714)</f>
        <v>2024</v>
      </c>
      <c r="G714" t="s">
        <v>2216</v>
      </c>
      <c r="H714" t="s">
        <v>47</v>
      </c>
      <c r="I714" t="s">
        <v>95</v>
      </c>
      <c r="J714" t="s">
        <v>63</v>
      </c>
      <c r="K714" t="s">
        <v>72</v>
      </c>
      <c r="L714" t="s">
        <v>73</v>
      </c>
      <c r="M714" t="s">
        <v>41</v>
      </c>
      <c r="N714" t="s">
        <v>66</v>
      </c>
      <c r="O714" t="s">
        <v>2217</v>
      </c>
      <c r="P714" t="s">
        <v>50</v>
      </c>
      <c r="Q714">
        <v>7</v>
      </c>
      <c r="R714">
        <v>1382.86</v>
      </c>
      <c r="S714">
        <v>0</v>
      </c>
      <c r="T714" s="12">
        <f>S714</f>
        <v>0</v>
      </c>
      <c r="U714">
        <v>9680.02</v>
      </c>
      <c r="V714">
        <f>Q714*R714*(1-S714)</f>
        <v>9680.0199999999986</v>
      </c>
      <c r="W714">
        <v>6876.66</v>
      </c>
      <c r="X714">
        <v>2803.36</v>
      </c>
      <c r="Y714">
        <f>V714-W714</f>
        <v>2803.3599999999988</v>
      </c>
      <c r="Z714" s="12">
        <f>Y714/V714</f>
        <v>0.28960270743242256</v>
      </c>
      <c r="AA714" t="s">
        <v>32</v>
      </c>
      <c r="AB714" t="s">
        <v>33</v>
      </c>
      <c r="AC714" s="14" t="s">
        <v>2794</v>
      </c>
      <c r="AD714" t="s">
        <v>2782</v>
      </c>
      <c r="AE714" t="str">
        <f>PROPER(TRIM(AB714))</f>
        <v>Completed</v>
      </c>
      <c r="AS714" t="str">
        <f t="shared" si="13"/>
        <v/>
      </c>
    </row>
    <row r="715" spans="1:45">
      <c r="A715" t="s">
        <v>2218</v>
      </c>
      <c r="B715" s="7">
        <v>45814</v>
      </c>
      <c r="C715" s="4">
        <v>45936</v>
      </c>
      <c r="D715">
        <f>C715-B715</f>
        <v>122</v>
      </c>
      <c r="E715" t="str">
        <f>TEXT(B715,"mmmm")</f>
        <v>June</v>
      </c>
      <c r="F715">
        <f>YEAR(B715)</f>
        <v>2025</v>
      </c>
      <c r="G715" t="s">
        <v>598</v>
      </c>
      <c r="H715" t="s">
        <v>36</v>
      </c>
      <c r="I715" t="s">
        <v>24</v>
      </c>
      <c r="J715" t="s">
        <v>63</v>
      </c>
      <c r="K715" t="s">
        <v>26</v>
      </c>
      <c r="L715" t="s">
        <v>109</v>
      </c>
      <c r="M715" t="s">
        <v>74</v>
      </c>
      <c r="N715" t="s">
        <v>274</v>
      </c>
      <c r="O715" t="s">
        <v>2219</v>
      </c>
      <c r="P715" t="s">
        <v>31</v>
      </c>
      <c r="Q715">
        <v>1</v>
      </c>
      <c r="R715">
        <v>289.97000000000003</v>
      </c>
      <c r="S715">
        <v>0.25</v>
      </c>
      <c r="T715" s="12">
        <f>S715</f>
        <v>0.25</v>
      </c>
      <c r="U715">
        <v>217.48</v>
      </c>
      <c r="V715">
        <f>Q715*R715*(1-S715)</f>
        <v>217.47750000000002</v>
      </c>
      <c r="W715">
        <v>132.13</v>
      </c>
      <c r="X715">
        <v>85.35</v>
      </c>
      <c r="Y715">
        <f>V715-W715</f>
        <v>85.347500000000025</v>
      </c>
      <c r="Z715" s="12">
        <f>Y715/V715</f>
        <v>0.39244289639158081</v>
      </c>
      <c r="AA715" t="s">
        <v>32</v>
      </c>
      <c r="AB715" t="s">
        <v>33</v>
      </c>
      <c r="AC715" s="14" t="s">
        <v>2794</v>
      </c>
      <c r="AD715" t="s">
        <v>2782</v>
      </c>
      <c r="AE715" t="str">
        <f>PROPER(TRIM(AB715))</f>
        <v>Completed</v>
      </c>
      <c r="AS715" t="str">
        <f t="shared" si="13"/>
        <v/>
      </c>
    </row>
    <row r="716" spans="1:45">
      <c r="A716" t="s">
        <v>2220</v>
      </c>
      <c r="B716" s="7">
        <v>45738</v>
      </c>
      <c r="C716" s="4">
        <v>45739</v>
      </c>
      <c r="D716">
        <f>C716-B716</f>
        <v>1</v>
      </c>
      <c r="E716" t="str">
        <f>TEXT(B716,"mmmm")</f>
        <v>March</v>
      </c>
      <c r="F716">
        <f>YEAR(B716)</f>
        <v>2025</v>
      </c>
      <c r="G716" t="s">
        <v>2221</v>
      </c>
      <c r="H716" t="s">
        <v>23</v>
      </c>
      <c r="I716" t="s">
        <v>95</v>
      </c>
      <c r="J716" t="s">
        <v>25</v>
      </c>
      <c r="K716" t="s">
        <v>350</v>
      </c>
      <c r="L716" t="s">
        <v>351</v>
      </c>
      <c r="M716" t="s">
        <v>74</v>
      </c>
      <c r="N716" t="s">
        <v>80</v>
      </c>
      <c r="O716" t="s">
        <v>2222</v>
      </c>
      <c r="P716" t="s">
        <v>59</v>
      </c>
      <c r="Q716">
        <v>9</v>
      </c>
      <c r="R716">
        <v>2075.02</v>
      </c>
      <c r="S716">
        <v>0</v>
      </c>
      <c r="T716" s="12">
        <f>S716</f>
        <v>0</v>
      </c>
      <c r="U716">
        <v>18675.18</v>
      </c>
      <c r="V716">
        <f>Q716*R716*(1-S716)</f>
        <v>18675.18</v>
      </c>
      <c r="W716">
        <v>13974.7</v>
      </c>
      <c r="X716">
        <v>4700.4799999999996</v>
      </c>
      <c r="Y716">
        <f>V716-W716</f>
        <v>4700.4799999999996</v>
      </c>
      <c r="Z716" s="12">
        <f>Y716/V716</f>
        <v>0.25169663692665878</v>
      </c>
      <c r="AA716" t="s">
        <v>32</v>
      </c>
      <c r="AB716" t="s">
        <v>33</v>
      </c>
      <c r="AC716" s="14" t="s">
        <v>2794</v>
      </c>
      <c r="AD716" t="s">
        <v>2782</v>
      </c>
      <c r="AE716" t="str">
        <f>PROPER(TRIM(AB716))</f>
        <v>Completed</v>
      </c>
      <c r="AS716" t="str">
        <f t="shared" si="13"/>
        <v/>
      </c>
    </row>
    <row r="717" spans="1:45">
      <c r="A717" t="s">
        <v>2223</v>
      </c>
      <c r="B717" s="7">
        <v>45891</v>
      </c>
      <c r="C717" s="4">
        <v>45896</v>
      </c>
      <c r="D717">
        <f>C717-B717</f>
        <v>5</v>
      </c>
      <c r="E717" t="str">
        <f>TEXT(B717,"mmmm")</f>
        <v>August</v>
      </c>
      <c r="F717">
        <f>YEAR(B717)</f>
        <v>2025</v>
      </c>
      <c r="G717" t="s">
        <v>2224</v>
      </c>
      <c r="H717" t="s">
        <v>114</v>
      </c>
      <c r="I717" t="s">
        <v>24</v>
      </c>
      <c r="J717" t="s">
        <v>25</v>
      </c>
      <c r="K717" t="s">
        <v>236</v>
      </c>
      <c r="L717" t="s">
        <v>237</v>
      </c>
      <c r="M717" t="s">
        <v>41</v>
      </c>
      <c r="N717" t="s">
        <v>66</v>
      </c>
      <c r="O717" t="s">
        <v>2225</v>
      </c>
      <c r="P717" t="s">
        <v>31</v>
      </c>
      <c r="Q717">
        <v>7</v>
      </c>
      <c r="R717">
        <v>2843.09</v>
      </c>
      <c r="S717">
        <v>0</v>
      </c>
      <c r="T717" s="12">
        <f>S717</f>
        <v>0</v>
      </c>
      <c r="U717">
        <v>19901.63</v>
      </c>
      <c r="V717">
        <f>Q717*R717*(1-S717)</f>
        <v>19901.63</v>
      </c>
      <c r="W717">
        <v>15492.03</v>
      </c>
      <c r="X717">
        <v>4409.6000000000004</v>
      </c>
      <c r="Y717">
        <f>V717-W717</f>
        <v>4409.6000000000004</v>
      </c>
      <c r="Z717" s="12">
        <f>Y717/V717</f>
        <v>0.22156979101711771</v>
      </c>
      <c r="AA717" t="s">
        <v>102</v>
      </c>
      <c r="AB717" t="s">
        <v>68</v>
      </c>
      <c r="AC717" s="14" t="s">
        <v>2794</v>
      </c>
      <c r="AD717" t="s">
        <v>2782</v>
      </c>
      <c r="AE717" t="str">
        <f>PROPER(TRIM(AB717))</f>
        <v>Cancelled</v>
      </c>
      <c r="AS717" t="str">
        <f t="shared" si="13"/>
        <v/>
      </c>
    </row>
    <row r="718" spans="1:45">
      <c r="A718" t="s">
        <v>2226</v>
      </c>
      <c r="B718" s="7">
        <v>45895</v>
      </c>
      <c r="C718" s="4">
        <v>45900</v>
      </c>
      <c r="D718">
        <f>C718-B718</f>
        <v>5</v>
      </c>
      <c r="E718" t="str">
        <f>TEXT(B718,"mmmm")</f>
        <v>August</v>
      </c>
      <c r="F718">
        <f>YEAR(B718)</f>
        <v>2025</v>
      </c>
      <c r="G718" t="s">
        <v>2227</v>
      </c>
      <c r="H718" t="s">
        <v>162</v>
      </c>
      <c r="I718" t="s">
        <v>37</v>
      </c>
      <c r="J718" t="s">
        <v>25</v>
      </c>
      <c r="K718" t="s">
        <v>236</v>
      </c>
      <c r="L718" t="s">
        <v>237</v>
      </c>
      <c r="M718" t="s">
        <v>74</v>
      </c>
      <c r="N718" t="s">
        <v>171</v>
      </c>
      <c r="O718" t="s">
        <v>2228</v>
      </c>
      <c r="P718" t="s">
        <v>50</v>
      </c>
      <c r="Q718">
        <v>1</v>
      </c>
      <c r="R718">
        <v>3388.02</v>
      </c>
      <c r="S718">
        <v>0.15</v>
      </c>
      <c r="T718" s="12">
        <f>S718</f>
        <v>0.15</v>
      </c>
      <c r="U718">
        <v>2879.82</v>
      </c>
      <c r="V718">
        <f>Q718*R718*(1-S718)</f>
        <v>2879.817</v>
      </c>
      <c r="W718">
        <v>1824.88</v>
      </c>
      <c r="X718">
        <v>1054.94</v>
      </c>
      <c r="Y718">
        <f>V718-W718</f>
        <v>1054.9369999999999</v>
      </c>
      <c r="Z718" s="12">
        <f>Y718/V718</f>
        <v>0.3663208460815392</v>
      </c>
      <c r="AA718" t="s">
        <v>32</v>
      </c>
      <c r="AB718" t="s">
        <v>33</v>
      </c>
      <c r="AC718" s="14" t="s">
        <v>2794</v>
      </c>
      <c r="AD718" t="s">
        <v>2782</v>
      </c>
      <c r="AE718" t="str">
        <f>PROPER(TRIM(AB718))</f>
        <v>Completed</v>
      </c>
      <c r="AS718" t="str">
        <f t="shared" si="13"/>
        <v/>
      </c>
    </row>
    <row r="719" spans="1:45">
      <c r="A719" t="s">
        <v>2229</v>
      </c>
      <c r="B719" s="7">
        <v>45942</v>
      </c>
      <c r="C719" s="4">
        <v>45945</v>
      </c>
      <c r="D719">
        <f>C719-B719</f>
        <v>3</v>
      </c>
      <c r="E719" t="str">
        <f>TEXT(B719,"mmmm")</f>
        <v>October</v>
      </c>
      <c r="F719">
        <f>YEAR(B719)</f>
        <v>2025</v>
      </c>
      <c r="G719" t="s">
        <v>2230</v>
      </c>
      <c r="H719" t="s">
        <v>264</v>
      </c>
      <c r="I719" t="s">
        <v>37</v>
      </c>
      <c r="J719" t="s">
        <v>25</v>
      </c>
      <c r="K719" t="s">
        <v>236</v>
      </c>
      <c r="L719" t="s">
        <v>237</v>
      </c>
      <c r="M719" t="s">
        <v>74</v>
      </c>
      <c r="N719" t="s">
        <v>274</v>
      </c>
      <c r="O719" t="s">
        <v>2231</v>
      </c>
      <c r="P719" t="s">
        <v>59</v>
      </c>
      <c r="Q719">
        <v>9</v>
      </c>
      <c r="R719">
        <v>2598.92</v>
      </c>
      <c r="S719">
        <v>0.2</v>
      </c>
      <c r="T719" s="12">
        <f>S719</f>
        <v>0.2</v>
      </c>
      <c r="U719">
        <v>18712.22</v>
      </c>
      <c r="V719">
        <f>Q719*R719*(1-S719)</f>
        <v>18712.223999999998</v>
      </c>
      <c r="W719">
        <v>11852.22</v>
      </c>
      <c r="X719">
        <v>6860</v>
      </c>
      <c r="Y719">
        <f>V719-W719</f>
        <v>6860.003999999999</v>
      </c>
      <c r="Z719" s="12">
        <f>Y719/V719</f>
        <v>0.3666054874075898</v>
      </c>
      <c r="AA719" t="s">
        <v>111</v>
      </c>
      <c r="AB719" t="s">
        <v>68</v>
      </c>
      <c r="AC719" s="14" t="s">
        <v>2794</v>
      </c>
      <c r="AD719" t="s">
        <v>2782</v>
      </c>
      <c r="AE719" t="str">
        <f>PROPER(TRIM(AB719))</f>
        <v>Cancelled</v>
      </c>
      <c r="AS719" t="str">
        <f t="shared" si="13"/>
        <v/>
      </c>
    </row>
    <row r="720" spans="1:45">
      <c r="A720" t="s">
        <v>2232</v>
      </c>
      <c r="B720" s="7">
        <v>45541</v>
      </c>
      <c r="C720" s="4">
        <v>45544</v>
      </c>
      <c r="D720">
        <f>C720-B720</f>
        <v>3</v>
      </c>
      <c r="E720" t="str">
        <f>TEXT(B720,"mmmm")</f>
        <v>September</v>
      </c>
      <c r="F720">
        <f>YEAR(B720)</f>
        <v>2024</v>
      </c>
      <c r="G720" t="s">
        <v>2233</v>
      </c>
      <c r="H720" t="s">
        <v>36</v>
      </c>
      <c r="I720" t="s">
        <v>24</v>
      </c>
      <c r="J720" t="s">
        <v>63</v>
      </c>
      <c r="K720" t="s">
        <v>64</v>
      </c>
      <c r="L720" t="s">
        <v>65</v>
      </c>
      <c r="M720" t="s">
        <v>28</v>
      </c>
      <c r="N720" t="s">
        <v>48</v>
      </c>
      <c r="O720" t="s">
        <v>2234</v>
      </c>
      <c r="P720" t="s">
        <v>44</v>
      </c>
      <c r="Q720">
        <v>3</v>
      </c>
      <c r="R720">
        <v>1972.27</v>
      </c>
      <c r="S720">
        <v>0.2</v>
      </c>
      <c r="T720" s="12">
        <f>S720</f>
        <v>0.2</v>
      </c>
      <c r="U720">
        <v>4733.45</v>
      </c>
      <c r="V720">
        <f>Q720*R720*(1-S720)</f>
        <v>4733.4479999999994</v>
      </c>
      <c r="W720">
        <v>3672.32</v>
      </c>
      <c r="X720">
        <v>1061.1300000000001</v>
      </c>
      <c r="Y720">
        <f>V720-W720</f>
        <v>1061.1279999999992</v>
      </c>
      <c r="Z720" s="12">
        <f>Y720/V720</f>
        <v>0.22417654107534282</v>
      </c>
      <c r="AA720" t="s">
        <v>32</v>
      </c>
      <c r="AB720" t="s">
        <v>33</v>
      </c>
      <c r="AC720" s="14" t="s">
        <v>2794</v>
      </c>
      <c r="AD720" t="s">
        <v>2782</v>
      </c>
      <c r="AE720" t="str">
        <f>PROPER(TRIM(AB720))</f>
        <v>Completed</v>
      </c>
      <c r="AS720" t="str">
        <f t="shared" si="13"/>
        <v/>
      </c>
    </row>
    <row r="721" spans="1:45">
      <c r="A721" t="s">
        <v>2235</v>
      </c>
      <c r="B721" s="7">
        <v>45908</v>
      </c>
      <c r="C721" s="4">
        <v>45909</v>
      </c>
      <c r="D721">
        <f>C721-B721</f>
        <v>1</v>
      </c>
      <c r="E721" t="str">
        <f>TEXT(B721,"mmmm")</f>
        <v>September</v>
      </c>
      <c r="F721">
        <f>YEAR(B721)</f>
        <v>2025</v>
      </c>
      <c r="G721" t="s">
        <v>144</v>
      </c>
      <c r="H721" t="s">
        <v>264</v>
      </c>
      <c r="I721" t="s">
        <v>90</v>
      </c>
      <c r="J721" t="s">
        <v>63</v>
      </c>
      <c r="K721" t="s">
        <v>180</v>
      </c>
      <c r="L721" t="s">
        <v>181</v>
      </c>
      <c r="M721" t="s">
        <v>28</v>
      </c>
      <c r="N721" t="s">
        <v>48</v>
      </c>
      <c r="O721" t="s">
        <v>2236</v>
      </c>
      <c r="P721" t="s">
        <v>44</v>
      </c>
      <c r="Q721">
        <v>2</v>
      </c>
      <c r="R721">
        <v>2372.41</v>
      </c>
      <c r="S721">
        <v>0.2</v>
      </c>
      <c r="T721" s="12">
        <f>S721</f>
        <v>0.2</v>
      </c>
      <c r="U721">
        <v>3795.86</v>
      </c>
      <c r="V721">
        <f>Q721*R721*(1-S721)</f>
        <v>3795.8559999999998</v>
      </c>
      <c r="W721">
        <v>2264.92</v>
      </c>
      <c r="X721">
        <v>1530.94</v>
      </c>
      <c r="Y721">
        <f>V721-W721</f>
        <v>1530.9359999999997</v>
      </c>
      <c r="Z721" s="12">
        <f>Y721/V721</f>
        <v>0.40331772332775528</v>
      </c>
      <c r="AA721" t="s">
        <v>32</v>
      </c>
      <c r="AB721" t="s">
        <v>33</v>
      </c>
      <c r="AC721" s="14" t="s">
        <v>2794</v>
      </c>
      <c r="AD721" t="s">
        <v>2782</v>
      </c>
      <c r="AE721" t="str">
        <f>PROPER(TRIM(AB721))</f>
        <v>Completed</v>
      </c>
      <c r="AS721" t="str">
        <f t="shared" si="13"/>
        <v/>
      </c>
    </row>
    <row r="722" spans="1:45">
      <c r="A722" t="s">
        <v>2237</v>
      </c>
      <c r="B722" s="7">
        <v>45489</v>
      </c>
      <c r="C722" s="4">
        <v>45489</v>
      </c>
      <c r="D722">
        <f>C722-B722</f>
        <v>0</v>
      </c>
      <c r="E722" t="str">
        <f>TEXT(B722,"mmmm")</f>
        <v>July</v>
      </c>
      <c r="F722">
        <f>YEAR(B722)</f>
        <v>2024</v>
      </c>
      <c r="G722" t="s">
        <v>2238</v>
      </c>
      <c r="H722" t="s">
        <v>89</v>
      </c>
      <c r="I722" t="s">
        <v>95</v>
      </c>
      <c r="J722" t="s">
        <v>63</v>
      </c>
      <c r="K722" t="s">
        <v>72</v>
      </c>
      <c r="L722" t="s">
        <v>73</v>
      </c>
      <c r="M722" t="s">
        <v>74</v>
      </c>
      <c r="N722" t="s">
        <v>80</v>
      </c>
      <c r="O722" t="s">
        <v>2239</v>
      </c>
      <c r="P722" t="s">
        <v>44</v>
      </c>
      <c r="Q722">
        <v>4</v>
      </c>
      <c r="R722">
        <v>4479.92</v>
      </c>
      <c r="S722">
        <v>0.15</v>
      </c>
      <c r="T722" s="12">
        <f>S722</f>
        <v>0.15</v>
      </c>
      <c r="U722">
        <v>15231.73</v>
      </c>
      <c r="V722">
        <f>Q722*R722*(1-S722)</f>
        <v>15231.727999999999</v>
      </c>
      <c r="W722">
        <v>12451.46</v>
      </c>
      <c r="X722">
        <v>2780.27</v>
      </c>
      <c r="Y722">
        <f>V722-W722</f>
        <v>2780.268</v>
      </c>
      <c r="Z722" s="12">
        <f>Y722/V722</f>
        <v>0.1825313582280356</v>
      </c>
      <c r="AA722" t="s">
        <v>32</v>
      </c>
      <c r="AB722" t="s">
        <v>33</v>
      </c>
      <c r="AC722" s="14" t="s">
        <v>2794</v>
      </c>
      <c r="AD722" t="s">
        <v>2782</v>
      </c>
      <c r="AE722" t="str">
        <f>PROPER(TRIM(AB722))</f>
        <v>Completed</v>
      </c>
      <c r="AS722" t="str">
        <f t="shared" si="13"/>
        <v/>
      </c>
    </row>
    <row r="723" spans="1:45">
      <c r="A723" t="s">
        <v>2240</v>
      </c>
      <c r="B723" s="7">
        <v>45827</v>
      </c>
      <c r="C723" s="4">
        <v>45831</v>
      </c>
      <c r="D723">
        <f>C723-B723</f>
        <v>4</v>
      </c>
      <c r="E723" t="str">
        <f>TEXT(B723,"mmmm")</f>
        <v>June</v>
      </c>
      <c r="F723">
        <f>YEAR(B723)</f>
        <v>2025</v>
      </c>
      <c r="G723" t="s">
        <v>2241</v>
      </c>
      <c r="H723" t="s">
        <v>132</v>
      </c>
      <c r="I723" t="s">
        <v>24</v>
      </c>
      <c r="J723" t="s">
        <v>54</v>
      </c>
      <c r="K723" t="s">
        <v>175</v>
      </c>
      <c r="L723" t="s">
        <v>176</v>
      </c>
      <c r="M723" t="s">
        <v>74</v>
      </c>
      <c r="N723" t="s">
        <v>80</v>
      </c>
      <c r="O723" t="s">
        <v>2242</v>
      </c>
      <c r="P723" t="s">
        <v>50</v>
      </c>
      <c r="Q723">
        <v>5</v>
      </c>
      <c r="R723">
        <v>2729.95</v>
      </c>
      <c r="S723">
        <v>0</v>
      </c>
      <c r="T723" s="12">
        <f>S723</f>
        <v>0</v>
      </c>
      <c r="U723">
        <v>13649.75</v>
      </c>
      <c r="V723">
        <f>Q723*R723*(1-S723)</f>
        <v>13649.75</v>
      </c>
      <c r="W723">
        <v>10288.030000000001</v>
      </c>
      <c r="X723">
        <v>3361.72</v>
      </c>
      <c r="Y723">
        <f>V723-W723</f>
        <v>3361.7199999999993</v>
      </c>
      <c r="Z723" s="12">
        <f>Y723/V723</f>
        <v>0.24628436418249414</v>
      </c>
      <c r="AA723" t="s">
        <v>32</v>
      </c>
      <c r="AB723" t="s">
        <v>33</v>
      </c>
      <c r="AC723" s="14" t="s">
        <v>2794</v>
      </c>
      <c r="AD723" t="s">
        <v>2782</v>
      </c>
      <c r="AE723" t="str">
        <f>PROPER(TRIM(AB723))</f>
        <v>Completed</v>
      </c>
      <c r="AS723" t="str">
        <f t="shared" si="13"/>
        <v/>
      </c>
    </row>
    <row r="724" spans="1:45">
      <c r="A724" t="s">
        <v>2243</v>
      </c>
      <c r="B724" s="7">
        <v>45572</v>
      </c>
      <c r="C724" s="4">
        <v>45575</v>
      </c>
      <c r="D724">
        <f>C724-B724</f>
        <v>3</v>
      </c>
      <c r="E724" t="str">
        <f>TEXT(B724,"mmmm")</f>
        <v>October</v>
      </c>
      <c r="F724">
        <f>YEAR(B724)</f>
        <v>2024</v>
      </c>
      <c r="G724" t="s">
        <v>2244</v>
      </c>
      <c r="H724" t="s">
        <v>71</v>
      </c>
      <c r="I724" t="s">
        <v>24</v>
      </c>
      <c r="J724" t="s">
        <v>38</v>
      </c>
      <c r="K724" t="s">
        <v>99</v>
      </c>
      <c r="L724" t="s">
        <v>100</v>
      </c>
      <c r="M724" t="s">
        <v>41</v>
      </c>
      <c r="N724" t="s">
        <v>66</v>
      </c>
      <c r="O724" t="s">
        <v>2245</v>
      </c>
      <c r="P724" t="s">
        <v>31</v>
      </c>
      <c r="Q724">
        <v>9</v>
      </c>
      <c r="R724">
        <v>481.51</v>
      </c>
      <c r="S724">
        <v>0</v>
      </c>
      <c r="T724" s="12">
        <f>S724</f>
        <v>0</v>
      </c>
      <c r="U724">
        <v>4333.59</v>
      </c>
      <c r="V724">
        <f>Q724*R724*(1-S724)</f>
        <v>4333.59</v>
      </c>
      <c r="W724">
        <v>2533.59</v>
      </c>
      <c r="X724">
        <v>1800</v>
      </c>
      <c r="Y724">
        <f>V724-W724</f>
        <v>1800</v>
      </c>
      <c r="Z724" s="12">
        <f>Y724/V724</f>
        <v>0.41536001329152039</v>
      </c>
      <c r="AA724" t="s">
        <v>102</v>
      </c>
      <c r="AB724" t="s">
        <v>68</v>
      </c>
      <c r="AC724" s="14" t="s">
        <v>2794</v>
      </c>
      <c r="AD724" t="s">
        <v>2782</v>
      </c>
      <c r="AE724" t="str">
        <f>PROPER(TRIM(AB724))</f>
        <v>Cancelled</v>
      </c>
      <c r="AS724" t="str">
        <f t="shared" si="13"/>
        <v/>
      </c>
    </row>
    <row r="725" spans="1:45">
      <c r="A725" t="s">
        <v>2246</v>
      </c>
      <c r="B725" s="7">
        <v>45818</v>
      </c>
      <c r="C725" s="4">
        <v>45943</v>
      </c>
      <c r="D725">
        <f>C725-B725</f>
        <v>125</v>
      </c>
      <c r="E725" t="str">
        <f>TEXT(B725,"mmmm")</f>
        <v>June</v>
      </c>
      <c r="F725">
        <f>YEAR(B725)</f>
        <v>2025</v>
      </c>
      <c r="G725" t="s">
        <v>2247</v>
      </c>
      <c r="H725" t="s">
        <v>264</v>
      </c>
      <c r="I725" t="s">
        <v>95</v>
      </c>
      <c r="J725" t="s">
        <v>38</v>
      </c>
      <c r="K725" t="s">
        <v>228</v>
      </c>
      <c r="L725" t="s">
        <v>229</v>
      </c>
      <c r="M725" t="s">
        <v>74</v>
      </c>
      <c r="N725" t="s">
        <v>75</v>
      </c>
      <c r="O725" t="s">
        <v>2248</v>
      </c>
      <c r="P725" t="s">
        <v>59</v>
      </c>
      <c r="Q725">
        <v>6</v>
      </c>
      <c r="R725">
        <v>2391.9299999999998</v>
      </c>
      <c r="S725">
        <v>0.05</v>
      </c>
      <c r="T725" s="12">
        <f>S725</f>
        <v>0.05</v>
      </c>
      <c r="U725">
        <v>13634</v>
      </c>
      <c r="V725">
        <f>Q725*R725*(1-S725)</f>
        <v>13634.000999999998</v>
      </c>
      <c r="W725">
        <v>9589.81</v>
      </c>
      <c r="X725">
        <v>4044.19</v>
      </c>
      <c r="Y725">
        <f>V725-W725</f>
        <v>4044.1909999999989</v>
      </c>
      <c r="Z725" s="12">
        <f>Y725/V725</f>
        <v>0.29662539998346776</v>
      </c>
      <c r="AA725" t="s">
        <v>155</v>
      </c>
      <c r="AB725" t="s">
        <v>103</v>
      </c>
      <c r="AC725" s="14" t="s">
        <v>2794</v>
      </c>
      <c r="AD725" t="s">
        <v>2782</v>
      </c>
      <c r="AE725" t="str">
        <f>PROPER(TRIM(AB725))</f>
        <v>Returned</v>
      </c>
      <c r="AS725" t="str">
        <f t="shared" si="13"/>
        <v/>
      </c>
    </row>
    <row r="726" spans="1:45">
      <c r="A726" t="s">
        <v>2249</v>
      </c>
      <c r="B726" s="7">
        <v>45567</v>
      </c>
      <c r="C726" s="4">
        <v>45338</v>
      </c>
      <c r="D726" s="10">
        <f>C726-B726</f>
        <v>-229</v>
      </c>
      <c r="E726" t="str">
        <f>TEXT(B726,"mmmm")</f>
        <v>October</v>
      </c>
      <c r="F726">
        <f>YEAR(B726)</f>
        <v>2024</v>
      </c>
      <c r="G726" t="s">
        <v>2250</v>
      </c>
      <c r="H726" t="s">
        <v>23</v>
      </c>
      <c r="I726" t="s">
        <v>24</v>
      </c>
      <c r="J726" t="s">
        <v>63</v>
      </c>
      <c r="K726" t="s">
        <v>190</v>
      </c>
      <c r="L726" t="s">
        <v>191</v>
      </c>
      <c r="M726" t="s">
        <v>41</v>
      </c>
      <c r="N726" t="s">
        <v>57</v>
      </c>
      <c r="O726" t="s">
        <v>2251</v>
      </c>
      <c r="P726" t="s">
        <v>31</v>
      </c>
      <c r="Q726">
        <v>3</v>
      </c>
      <c r="R726">
        <v>253.43</v>
      </c>
      <c r="S726">
        <v>0</v>
      </c>
      <c r="T726" s="12">
        <f>S726</f>
        <v>0</v>
      </c>
      <c r="U726">
        <v>760.29</v>
      </c>
      <c r="V726">
        <f>Q726*R726*(1-S726)</f>
        <v>760.29</v>
      </c>
      <c r="W726">
        <v>497.77</v>
      </c>
      <c r="X726">
        <v>262.52</v>
      </c>
      <c r="Y726">
        <f>V726-W726</f>
        <v>262.52</v>
      </c>
      <c r="Z726" s="12">
        <f>Y726/V726</f>
        <v>0.34528929750489945</v>
      </c>
      <c r="AA726" t="s">
        <v>32</v>
      </c>
      <c r="AB726" t="s">
        <v>33</v>
      </c>
      <c r="AC726" s="10" t="s">
        <v>2792</v>
      </c>
      <c r="AD726" t="s">
        <v>2782</v>
      </c>
      <c r="AE726" t="str">
        <f>PROPER(TRIM(AB726))</f>
        <v>Completed</v>
      </c>
      <c r="AS726" t="str">
        <f t="shared" si="13"/>
        <v/>
      </c>
    </row>
    <row r="727" spans="1:45">
      <c r="A727" t="s">
        <v>2252</v>
      </c>
      <c r="B727" s="7">
        <v>45787</v>
      </c>
      <c r="C727" s="4">
        <v>45942</v>
      </c>
      <c r="D727">
        <f>C727-B727</f>
        <v>155</v>
      </c>
      <c r="E727" t="str">
        <f>TEXT(B727,"mmmm")</f>
        <v>May</v>
      </c>
      <c r="F727">
        <f>YEAR(B727)</f>
        <v>2025</v>
      </c>
      <c r="G727" t="s">
        <v>2253</v>
      </c>
      <c r="H727" t="s">
        <v>114</v>
      </c>
      <c r="I727" t="s">
        <v>90</v>
      </c>
      <c r="J727" t="s">
        <v>54</v>
      </c>
      <c r="K727" t="s">
        <v>175</v>
      </c>
      <c r="L727" t="s">
        <v>176</v>
      </c>
      <c r="M727" t="s">
        <v>41</v>
      </c>
      <c r="N727" t="s">
        <v>42</v>
      </c>
      <c r="O727" t="s">
        <v>2254</v>
      </c>
      <c r="P727" t="s">
        <v>31</v>
      </c>
      <c r="Q727">
        <v>7</v>
      </c>
      <c r="R727">
        <v>2134.73</v>
      </c>
      <c r="S727">
        <v>0</v>
      </c>
      <c r="T727" s="12">
        <f>S727</f>
        <v>0</v>
      </c>
      <c r="U727">
        <v>14943.11</v>
      </c>
      <c r="V727">
        <f>Q727*R727*(1-S727)</f>
        <v>14943.11</v>
      </c>
      <c r="W727">
        <v>8521.5</v>
      </c>
      <c r="X727">
        <v>6421.61</v>
      </c>
      <c r="Y727">
        <f>V727-W727</f>
        <v>6421.6100000000006</v>
      </c>
      <c r="Z727" s="12">
        <f>Y727/V727</f>
        <v>0.42973718322357263</v>
      </c>
      <c r="AA727" t="s">
        <v>32</v>
      </c>
      <c r="AB727" t="s">
        <v>33</v>
      </c>
      <c r="AC727" s="14" t="s">
        <v>2794</v>
      </c>
      <c r="AD727" t="s">
        <v>2782</v>
      </c>
      <c r="AE727" t="str">
        <f>PROPER(TRIM(AB727))</f>
        <v>Completed</v>
      </c>
      <c r="AS727" t="str">
        <f t="shared" si="13"/>
        <v/>
      </c>
    </row>
    <row r="728" spans="1:45">
      <c r="A728" t="s">
        <v>2255</v>
      </c>
      <c r="B728" s="7">
        <v>45308</v>
      </c>
      <c r="C728" s="4">
        <v>45314</v>
      </c>
      <c r="D728">
        <f>C728-B728</f>
        <v>6</v>
      </c>
      <c r="E728" t="str">
        <f>TEXT(B728,"mmmm")</f>
        <v>January</v>
      </c>
      <c r="F728">
        <f>YEAR(B728)</f>
        <v>2024</v>
      </c>
      <c r="G728" t="s">
        <v>2256</v>
      </c>
      <c r="H728" t="s">
        <v>264</v>
      </c>
      <c r="I728" t="s">
        <v>95</v>
      </c>
      <c r="J728" t="s">
        <v>63</v>
      </c>
      <c r="K728" t="s">
        <v>180</v>
      </c>
      <c r="L728" t="s">
        <v>181</v>
      </c>
      <c r="M728" t="s">
        <v>74</v>
      </c>
      <c r="N728" t="s">
        <v>171</v>
      </c>
      <c r="O728" t="s">
        <v>2257</v>
      </c>
      <c r="P728" t="s">
        <v>59</v>
      </c>
      <c r="Q728">
        <v>5</v>
      </c>
      <c r="R728">
        <v>2018</v>
      </c>
      <c r="S728">
        <v>0.2</v>
      </c>
      <c r="T728" s="12">
        <f>S728</f>
        <v>0.2</v>
      </c>
      <c r="U728">
        <v>8072</v>
      </c>
      <c r="V728">
        <f>Q728*R728*(1-S728)</f>
        <v>8072</v>
      </c>
      <c r="W728">
        <v>5379.22</v>
      </c>
      <c r="X728">
        <v>2692.78</v>
      </c>
      <c r="Y728">
        <f>V728-W728</f>
        <v>2692.7799999999997</v>
      </c>
      <c r="Z728" s="12">
        <f>Y728/V728</f>
        <v>0.33359514370664023</v>
      </c>
      <c r="AA728" t="s">
        <v>111</v>
      </c>
      <c r="AB728" t="s">
        <v>103</v>
      </c>
      <c r="AC728" s="14" t="s">
        <v>2794</v>
      </c>
      <c r="AD728" t="s">
        <v>2782</v>
      </c>
      <c r="AE728" t="str">
        <f>PROPER(TRIM(AB728))</f>
        <v>Returned</v>
      </c>
      <c r="AS728" t="str">
        <f t="shared" si="13"/>
        <v/>
      </c>
    </row>
    <row r="729" spans="1:45">
      <c r="A729" t="s">
        <v>2258</v>
      </c>
      <c r="B729" s="7">
        <v>45578</v>
      </c>
      <c r="C729" s="4">
        <v>45578</v>
      </c>
      <c r="D729">
        <f>C729-B729</f>
        <v>0</v>
      </c>
      <c r="E729" t="str">
        <f>TEXT(B729,"mmmm")</f>
        <v>October</v>
      </c>
      <c r="F729">
        <f>YEAR(B729)</f>
        <v>2024</v>
      </c>
      <c r="G729" t="s">
        <v>2259</v>
      </c>
      <c r="H729" t="s">
        <v>128</v>
      </c>
      <c r="I729" t="s">
        <v>37</v>
      </c>
      <c r="J729" t="s">
        <v>38</v>
      </c>
      <c r="K729" t="s">
        <v>166</v>
      </c>
      <c r="L729" t="s">
        <v>167</v>
      </c>
      <c r="M729" t="s">
        <v>74</v>
      </c>
      <c r="N729" t="s">
        <v>75</v>
      </c>
      <c r="O729" t="s">
        <v>2260</v>
      </c>
      <c r="P729" t="s">
        <v>31</v>
      </c>
      <c r="Q729">
        <v>8</v>
      </c>
      <c r="R729">
        <v>3730.66</v>
      </c>
      <c r="S729">
        <v>0.05</v>
      </c>
      <c r="T729" s="12">
        <f>S729</f>
        <v>0.05</v>
      </c>
      <c r="U729">
        <v>28353.02</v>
      </c>
      <c r="V729">
        <f>Q729*R729*(1-S729)</f>
        <v>28353.015999999996</v>
      </c>
      <c r="W729">
        <v>19257.849999999999</v>
      </c>
      <c r="X729">
        <v>9095.17</v>
      </c>
      <c r="Y729">
        <f>V729-W729</f>
        <v>9095.1659999999974</v>
      </c>
      <c r="Z729" s="12">
        <f>Y729/V729</f>
        <v>0.3207830165228277</v>
      </c>
      <c r="AA729" t="s">
        <v>32</v>
      </c>
      <c r="AB729" t="s">
        <v>33</v>
      </c>
      <c r="AC729" s="14" t="s">
        <v>2794</v>
      </c>
      <c r="AD729" t="s">
        <v>2782</v>
      </c>
      <c r="AE729" t="str">
        <f>PROPER(TRIM(AB729))</f>
        <v>Completed</v>
      </c>
      <c r="AS729" t="str">
        <f t="shared" si="13"/>
        <v/>
      </c>
    </row>
    <row r="730" spans="1:45">
      <c r="A730" t="s">
        <v>2261</v>
      </c>
      <c r="B730" s="7">
        <v>45295</v>
      </c>
      <c r="C730" s="4">
        <v>45298</v>
      </c>
      <c r="D730">
        <f>C730-B730</f>
        <v>3</v>
      </c>
      <c r="E730" t="str">
        <f>TEXT(B730,"mmmm")</f>
        <v>January</v>
      </c>
      <c r="F730">
        <f>YEAR(B730)</f>
        <v>2024</v>
      </c>
      <c r="G730" t="s">
        <v>2262</v>
      </c>
      <c r="H730" t="s">
        <v>132</v>
      </c>
      <c r="I730" t="s">
        <v>37</v>
      </c>
      <c r="J730" t="s">
        <v>54</v>
      </c>
      <c r="K730" t="s">
        <v>175</v>
      </c>
      <c r="L730" t="s">
        <v>176</v>
      </c>
      <c r="M730" t="s">
        <v>74</v>
      </c>
      <c r="N730" t="s">
        <v>274</v>
      </c>
      <c r="O730" t="s">
        <v>2263</v>
      </c>
      <c r="P730" t="s">
        <v>50</v>
      </c>
      <c r="Q730">
        <v>1</v>
      </c>
      <c r="R730">
        <v>2363.02</v>
      </c>
      <c r="S730">
        <v>0.15</v>
      </c>
      <c r="T730" s="12">
        <f>S730</f>
        <v>0.15</v>
      </c>
      <c r="U730">
        <v>2008.57</v>
      </c>
      <c r="V730">
        <f>Q730*R730*(1-S730)</f>
        <v>2008.567</v>
      </c>
      <c r="W730">
        <v>1194.83</v>
      </c>
      <c r="X730">
        <v>813.74</v>
      </c>
      <c r="Y730">
        <f>V730-W730</f>
        <v>813.73700000000008</v>
      </c>
      <c r="Z730" s="12">
        <f>Y730/V730</f>
        <v>0.40513311231340554</v>
      </c>
      <c r="AA730" t="s">
        <v>32</v>
      </c>
      <c r="AB730" t="s">
        <v>33</v>
      </c>
      <c r="AC730" s="14" t="s">
        <v>2794</v>
      </c>
      <c r="AD730" t="s">
        <v>2782</v>
      </c>
      <c r="AE730" t="str">
        <f>PROPER(TRIM(AB730))</f>
        <v>Completed</v>
      </c>
      <c r="AS730" t="str">
        <f t="shared" si="13"/>
        <v/>
      </c>
    </row>
    <row r="731" spans="1:45">
      <c r="A731" t="s">
        <v>2264</v>
      </c>
      <c r="B731" s="7">
        <v>45794</v>
      </c>
      <c r="C731" s="4">
        <v>45802</v>
      </c>
      <c r="D731">
        <f>C731-B731</f>
        <v>8</v>
      </c>
      <c r="E731" t="str">
        <f>TEXT(B731,"mmmm")</f>
        <v>May</v>
      </c>
      <c r="F731">
        <f>YEAR(B731)</f>
        <v>2025</v>
      </c>
      <c r="G731" t="s">
        <v>2265</v>
      </c>
      <c r="H731" t="s">
        <v>62</v>
      </c>
      <c r="I731" t="s">
        <v>90</v>
      </c>
      <c r="J731" t="s">
        <v>54</v>
      </c>
      <c r="K731" t="s">
        <v>247</v>
      </c>
      <c r="L731" t="s">
        <v>248</v>
      </c>
      <c r="M731" t="s">
        <v>74</v>
      </c>
      <c r="N731" t="s">
        <v>274</v>
      </c>
      <c r="O731" t="s">
        <v>2266</v>
      </c>
      <c r="P731" t="s">
        <v>44</v>
      </c>
      <c r="Q731">
        <v>6</v>
      </c>
      <c r="R731">
        <v>1810.63</v>
      </c>
      <c r="S731">
        <v>0.15</v>
      </c>
      <c r="T731" s="12">
        <f>S731</f>
        <v>0.15</v>
      </c>
      <c r="U731">
        <v>9234.2099999999991</v>
      </c>
      <c r="V731">
        <f>Q731*R731*(1-S731)</f>
        <v>9234.2129999999997</v>
      </c>
      <c r="W731">
        <v>5516.52</v>
      </c>
      <c r="X731">
        <v>3717.69</v>
      </c>
      <c r="Y731">
        <f>V731-W731</f>
        <v>3717.6929999999993</v>
      </c>
      <c r="Z731" s="12">
        <f>Y731/V731</f>
        <v>0.40259987505161504</v>
      </c>
      <c r="AA731" t="s">
        <v>32</v>
      </c>
      <c r="AB731" t="s">
        <v>33</v>
      </c>
      <c r="AC731" s="14" t="s">
        <v>2794</v>
      </c>
      <c r="AD731" t="s">
        <v>2782</v>
      </c>
      <c r="AE731" t="str">
        <f>PROPER(TRIM(AB731))</f>
        <v>Completed</v>
      </c>
      <c r="AS731" t="str">
        <f t="shared" si="13"/>
        <v/>
      </c>
    </row>
    <row r="732" spans="1:45">
      <c r="A732" t="s">
        <v>2267</v>
      </c>
      <c r="B732" s="7">
        <v>45827</v>
      </c>
      <c r="C732" s="4">
        <v>45832</v>
      </c>
      <c r="D732">
        <f>C732-B732</f>
        <v>5</v>
      </c>
      <c r="E732" t="str">
        <f>TEXT(B732,"mmmm")</f>
        <v>June</v>
      </c>
      <c r="F732">
        <f>YEAR(B732)</f>
        <v>2025</v>
      </c>
      <c r="G732" t="s">
        <v>2268</v>
      </c>
      <c r="H732" t="s">
        <v>53</v>
      </c>
      <c r="I732" t="s">
        <v>24</v>
      </c>
      <c r="J732" t="s">
        <v>38</v>
      </c>
      <c r="K732" t="s">
        <v>99</v>
      </c>
      <c r="L732" t="s">
        <v>100</v>
      </c>
      <c r="M732" t="s">
        <v>28</v>
      </c>
      <c r="N732" t="s">
        <v>48</v>
      </c>
      <c r="O732" t="s">
        <v>2269</v>
      </c>
      <c r="P732" t="s">
        <v>31</v>
      </c>
      <c r="Q732">
        <v>4</v>
      </c>
      <c r="R732">
        <v>782.01</v>
      </c>
      <c r="S732">
        <v>0.15</v>
      </c>
      <c r="T732" s="12">
        <f>S732</f>
        <v>0.15</v>
      </c>
      <c r="U732">
        <v>2658.83</v>
      </c>
      <c r="V732">
        <f>Q732*R732*(1-S732)</f>
        <v>2658.8339999999998</v>
      </c>
      <c r="W732">
        <v>2226.9699999999998</v>
      </c>
      <c r="X732">
        <v>431.86</v>
      </c>
      <c r="Y732">
        <f>V732-W732</f>
        <v>431.86400000000003</v>
      </c>
      <c r="Z732" s="12">
        <f>Y732/V732</f>
        <v>0.16242608602116568</v>
      </c>
      <c r="AA732" t="s">
        <v>102</v>
      </c>
      <c r="AB732" t="s">
        <v>103</v>
      </c>
      <c r="AC732" s="14" t="s">
        <v>2794</v>
      </c>
      <c r="AD732" t="s">
        <v>2782</v>
      </c>
      <c r="AE732" t="str">
        <f>PROPER(TRIM(AB732))</f>
        <v>Returned</v>
      </c>
      <c r="AS732" t="str">
        <f t="shared" si="13"/>
        <v/>
      </c>
    </row>
    <row r="733" spans="1:45">
      <c r="A733" t="s">
        <v>2270</v>
      </c>
      <c r="B733" s="7">
        <v>45368</v>
      </c>
      <c r="C733" s="4">
        <v>45370</v>
      </c>
      <c r="D733">
        <f>C733-B733</f>
        <v>2</v>
      </c>
      <c r="E733" t="str">
        <f>TEXT(B733,"mmmm")</f>
        <v>March</v>
      </c>
      <c r="F733">
        <f>YEAR(B733)</f>
        <v>2024</v>
      </c>
      <c r="G733" t="s">
        <v>2271</v>
      </c>
      <c r="H733" t="s">
        <v>62</v>
      </c>
      <c r="I733" t="s">
        <v>90</v>
      </c>
      <c r="J733" t="s">
        <v>38</v>
      </c>
      <c r="K733" t="s">
        <v>39</v>
      </c>
      <c r="L733" t="s">
        <v>40</v>
      </c>
      <c r="M733" t="s">
        <v>28</v>
      </c>
      <c r="N733" t="s">
        <v>153</v>
      </c>
      <c r="O733" t="s">
        <v>2272</v>
      </c>
      <c r="P733" t="s">
        <v>50</v>
      </c>
      <c r="Q733">
        <v>4</v>
      </c>
      <c r="R733">
        <v>4376.68</v>
      </c>
      <c r="S733">
        <v>0.1</v>
      </c>
      <c r="T733" s="12">
        <f>S733</f>
        <v>0.1</v>
      </c>
      <c r="U733">
        <v>15756.05</v>
      </c>
      <c r="V733">
        <f>Q733*R733*(1-S733)</f>
        <v>15756.048000000001</v>
      </c>
      <c r="W733">
        <v>10245.44</v>
      </c>
      <c r="X733">
        <v>5510.61</v>
      </c>
      <c r="Y733">
        <f>V733-W733</f>
        <v>5510.6080000000002</v>
      </c>
      <c r="Z733" s="12">
        <f>Y733/V733</f>
        <v>0.3497455707167178</v>
      </c>
      <c r="AA733" t="s">
        <v>32</v>
      </c>
      <c r="AB733" t="s">
        <v>33</v>
      </c>
      <c r="AC733" s="14" t="s">
        <v>2794</v>
      </c>
      <c r="AD733" t="s">
        <v>2782</v>
      </c>
      <c r="AE733" t="str">
        <f>PROPER(TRIM(AB733))</f>
        <v>Completed</v>
      </c>
      <c r="AS733" t="str">
        <f t="shared" si="13"/>
        <v/>
      </c>
    </row>
    <row r="734" spans="1:45">
      <c r="A734" t="s">
        <v>2273</v>
      </c>
      <c r="B734" s="7">
        <v>45624</v>
      </c>
      <c r="C734" s="4">
        <v>45632</v>
      </c>
      <c r="D734">
        <f>C734-B734</f>
        <v>8</v>
      </c>
      <c r="E734" t="str">
        <f>TEXT(B734,"mmmm")</f>
        <v>November</v>
      </c>
      <c r="F734">
        <f>YEAR(B734)</f>
        <v>2024</v>
      </c>
      <c r="G734" t="s">
        <v>2274</v>
      </c>
      <c r="H734" t="s">
        <v>53</v>
      </c>
      <c r="I734" t="s">
        <v>37</v>
      </c>
      <c r="J734" t="s">
        <v>25</v>
      </c>
      <c r="K734" t="s">
        <v>122</v>
      </c>
      <c r="L734" t="s">
        <v>123</v>
      </c>
      <c r="M734" t="s">
        <v>74</v>
      </c>
      <c r="N734" t="s">
        <v>171</v>
      </c>
      <c r="O734" t="s">
        <v>2275</v>
      </c>
      <c r="P734" t="s">
        <v>59</v>
      </c>
      <c r="Q734">
        <v>6</v>
      </c>
      <c r="R734">
        <v>2464.63</v>
      </c>
      <c r="S734">
        <v>0</v>
      </c>
      <c r="T734" s="12">
        <f>S734</f>
        <v>0</v>
      </c>
      <c r="U734">
        <v>14787.78</v>
      </c>
      <c r="V734">
        <f>Q734*R734*(1-S734)</f>
        <v>14787.78</v>
      </c>
      <c r="W734">
        <v>8596.65</v>
      </c>
      <c r="X734">
        <v>6191.13</v>
      </c>
      <c r="Y734">
        <f>V734-W734</f>
        <v>6191.130000000001</v>
      </c>
      <c r="Z734" s="12">
        <f>Y734/V734</f>
        <v>0.41866527632950995</v>
      </c>
      <c r="AA734" t="s">
        <v>32</v>
      </c>
      <c r="AB734" t="s">
        <v>33</v>
      </c>
      <c r="AC734" s="14" t="s">
        <v>2794</v>
      </c>
      <c r="AD734" t="s">
        <v>2782</v>
      </c>
      <c r="AE734" t="str">
        <f>PROPER(TRIM(AB734))</f>
        <v>Completed</v>
      </c>
      <c r="AS734" t="str">
        <f t="shared" si="13"/>
        <v/>
      </c>
    </row>
    <row r="735" spans="1:45">
      <c r="A735" t="s">
        <v>2276</v>
      </c>
      <c r="B735" s="7">
        <v>45464</v>
      </c>
      <c r="C735" s="4">
        <v>45471</v>
      </c>
      <c r="D735">
        <f>C735-B735</f>
        <v>7</v>
      </c>
      <c r="E735" t="str">
        <f>TEXT(B735,"mmmm")</f>
        <v>June</v>
      </c>
      <c r="F735">
        <f>YEAR(B735)</f>
        <v>2024</v>
      </c>
      <c r="G735" t="s">
        <v>2277</v>
      </c>
      <c r="H735" t="s">
        <v>128</v>
      </c>
      <c r="I735" t="s">
        <v>95</v>
      </c>
      <c r="J735" t="s">
        <v>25</v>
      </c>
      <c r="K735" t="s">
        <v>26</v>
      </c>
      <c r="L735" t="s">
        <v>27</v>
      </c>
      <c r="M735" t="s">
        <v>41</v>
      </c>
      <c r="N735" t="s">
        <v>57</v>
      </c>
      <c r="O735" t="s">
        <v>2278</v>
      </c>
      <c r="P735" t="s">
        <v>50</v>
      </c>
      <c r="Q735">
        <v>9</v>
      </c>
      <c r="R735">
        <v>2797.96</v>
      </c>
      <c r="S735">
        <v>0</v>
      </c>
      <c r="T735" s="12">
        <f>S735</f>
        <v>0</v>
      </c>
      <c r="U735">
        <v>25181.64</v>
      </c>
      <c r="V735">
        <f>Q735*R735*(1-S735)</f>
        <v>25181.64</v>
      </c>
      <c r="W735">
        <v>15337.9</v>
      </c>
      <c r="X735">
        <v>9843.74</v>
      </c>
      <c r="Y735">
        <f>V735-W735</f>
        <v>9843.74</v>
      </c>
      <c r="Z735" s="12">
        <f>Y735/V735</f>
        <v>0.39090940860086953</v>
      </c>
      <c r="AA735" t="s">
        <v>32</v>
      </c>
      <c r="AB735" t="s">
        <v>33</v>
      </c>
      <c r="AC735" s="14" t="s">
        <v>2794</v>
      </c>
      <c r="AD735" t="s">
        <v>2782</v>
      </c>
      <c r="AE735" t="str">
        <f>PROPER(TRIM(AB735))</f>
        <v>Completed</v>
      </c>
      <c r="AS735" t="str">
        <f t="shared" si="13"/>
        <v/>
      </c>
    </row>
    <row r="736" spans="1:45">
      <c r="A736" t="s">
        <v>2279</v>
      </c>
      <c r="B736" s="7">
        <v>45528</v>
      </c>
      <c r="C736" s="4">
        <v>45528</v>
      </c>
      <c r="D736">
        <f>C736-B736</f>
        <v>0</v>
      </c>
      <c r="E736" t="str">
        <f>TEXT(B736,"mmmm")</f>
        <v>August</v>
      </c>
      <c r="F736">
        <f>YEAR(B736)</f>
        <v>2024</v>
      </c>
      <c r="G736" t="s">
        <v>2280</v>
      </c>
      <c r="H736" t="s">
        <v>62</v>
      </c>
      <c r="I736" t="s">
        <v>37</v>
      </c>
      <c r="J736" t="s">
        <v>25</v>
      </c>
      <c r="K736" t="s">
        <v>26</v>
      </c>
      <c r="L736" t="s">
        <v>27</v>
      </c>
      <c r="M736" t="s">
        <v>74</v>
      </c>
      <c r="N736" t="s">
        <v>75</v>
      </c>
      <c r="O736" t="s">
        <v>2281</v>
      </c>
      <c r="P736" t="s">
        <v>50</v>
      </c>
      <c r="Q736">
        <v>4</v>
      </c>
      <c r="R736">
        <v>2761.86</v>
      </c>
      <c r="S736">
        <v>0.2</v>
      </c>
      <c r="T736" s="12">
        <f>S736</f>
        <v>0.2</v>
      </c>
      <c r="U736">
        <v>8837.9500000000007</v>
      </c>
      <c r="V736">
        <f>Q736*R736*(1-S736)</f>
        <v>8837.9520000000011</v>
      </c>
      <c r="W736">
        <v>6157.27</v>
      </c>
      <c r="X736">
        <v>2680.68</v>
      </c>
      <c r="Y736">
        <f>V736-W736</f>
        <v>2680.6820000000007</v>
      </c>
      <c r="Z736" s="12">
        <f>Y736/V736</f>
        <v>0.30331484036120587</v>
      </c>
      <c r="AA736" t="s">
        <v>32</v>
      </c>
      <c r="AB736" t="s">
        <v>33</v>
      </c>
      <c r="AC736" s="14" t="s">
        <v>2794</v>
      </c>
      <c r="AD736" t="s">
        <v>2782</v>
      </c>
      <c r="AE736" t="str">
        <f>PROPER(TRIM(AB736))</f>
        <v>Completed</v>
      </c>
      <c r="AS736" t="str">
        <f t="shared" si="13"/>
        <v/>
      </c>
    </row>
    <row r="737" spans="1:45">
      <c r="A737" t="s">
        <v>2282</v>
      </c>
      <c r="B737" s="7">
        <v>45515</v>
      </c>
      <c r="C737" s="4">
        <v>45523</v>
      </c>
      <c r="D737">
        <f>C737-B737</f>
        <v>8</v>
      </c>
      <c r="E737" t="str">
        <f>TEXT(B737,"mmmm")</f>
        <v>August</v>
      </c>
      <c r="F737">
        <f>YEAR(B737)</f>
        <v>2024</v>
      </c>
      <c r="G737" t="s">
        <v>2283</v>
      </c>
      <c r="H737" t="s">
        <v>36</v>
      </c>
      <c r="I737" t="s">
        <v>24</v>
      </c>
      <c r="J737" t="s">
        <v>63</v>
      </c>
      <c r="K737" t="s">
        <v>64</v>
      </c>
      <c r="L737" t="s">
        <v>65</v>
      </c>
      <c r="M737" t="s">
        <v>41</v>
      </c>
      <c r="N737" t="s">
        <v>42</v>
      </c>
      <c r="O737" t="s">
        <v>2284</v>
      </c>
      <c r="P737" t="s">
        <v>59</v>
      </c>
      <c r="Q737">
        <v>6</v>
      </c>
      <c r="R737">
        <v>1515.79</v>
      </c>
      <c r="S737">
        <v>0.2</v>
      </c>
      <c r="T737" s="12">
        <f>S737</f>
        <v>0.2</v>
      </c>
      <c r="U737">
        <v>7275.79</v>
      </c>
      <c r="V737">
        <f>Q737*R737*(1-S737)</f>
        <v>7275.7920000000004</v>
      </c>
      <c r="W737">
        <v>6152.87</v>
      </c>
      <c r="X737">
        <v>1122.92</v>
      </c>
      <c r="Y737">
        <f>V737-W737</f>
        <v>1122.9220000000005</v>
      </c>
      <c r="Z737" s="12">
        <f>Y737/V737</f>
        <v>0.15433673749881804</v>
      </c>
      <c r="AA737" t="s">
        <v>32</v>
      </c>
      <c r="AB737" t="s">
        <v>33</v>
      </c>
      <c r="AC737" s="14" t="s">
        <v>2794</v>
      </c>
      <c r="AD737" t="s">
        <v>2782</v>
      </c>
      <c r="AE737" t="str">
        <f>PROPER(TRIM(AB737))</f>
        <v>Completed</v>
      </c>
      <c r="AS737" t="str">
        <f t="shared" si="13"/>
        <v/>
      </c>
    </row>
    <row r="738" spans="1:45">
      <c r="A738" t="s">
        <v>2285</v>
      </c>
      <c r="B738" s="7">
        <v>45632</v>
      </c>
      <c r="C738" s="4">
        <v>45635</v>
      </c>
      <c r="D738">
        <f>C738-B738</f>
        <v>3</v>
      </c>
      <c r="E738" t="str">
        <f>TEXT(B738,"mmmm")</f>
        <v>December</v>
      </c>
      <c r="F738">
        <f>YEAR(B738)</f>
        <v>2024</v>
      </c>
      <c r="G738" t="s">
        <v>2286</v>
      </c>
      <c r="H738" t="s">
        <v>89</v>
      </c>
      <c r="I738" t="s">
        <v>24</v>
      </c>
      <c r="J738" t="s">
        <v>63</v>
      </c>
      <c r="K738" t="s">
        <v>64</v>
      </c>
      <c r="L738" t="s">
        <v>65</v>
      </c>
      <c r="M738" t="s">
        <v>41</v>
      </c>
      <c r="N738" t="s">
        <v>66</v>
      </c>
      <c r="O738" t="s">
        <v>2287</v>
      </c>
      <c r="P738" t="s">
        <v>31</v>
      </c>
      <c r="Q738">
        <v>9</v>
      </c>
      <c r="R738">
        <v>290.75</v>
      </c>
      <c r="S738">
        <v>0.1</v>
      </c>
      <c r="T738" s="12">
        <f>S738</f>
        <v>0.1</v>
      </c>
      <c r="U738">
        <v>2355.08</v>
      </c>
      <c r="V738">
        <f>Q738*R738*(1-S738)</f>
        <v>2355.0750000000003</v>
      </c>
      <c r="W738">
        <v>1350.03</v>
      </c>
      <c r="X738">
        <v>1005.05</v>
      </c>
      <c r="Y738">
        <f>V738-W738</f>
        <v>1005.0450000000003</v>
      </c>
      <c r="Z738" s="12">
        <f>Y738/V738</f>
        <v>0.42675710964618968</v>
      </c>
      <c r="AA738" t="s">
        <v>32</v>
      </c>
      <c r="AB738" t="s">
        <v>33</v>
      </c>
      <c r="AC738" s="14" t="s">
        <v>2794</v>
      </c>
      <c r="AD738" t="s">
        <v>2782</v>
      </c>
      <c r="AE738" t="str">
        <f>PROPER(TRIM(AB738))</f>
        <v>Completed</v>
      </c>
      <c r="AS738" t="str">
        <f t="shared" si="13"/>
        <v/>
      </c>
    </row>
    <row r="739" spans="1:45">
      <c r="A739" t="s">
        <v>2288</v>
      </c>
      <c r="B739" s="7">
        <v>45332</v>
      </c>
      <c r="C739" s="4">
        <v>45332</v>
      </c>
      <c r="D739">
        <f>C739-B739</f>
        <v>0</v>
      </c>
      <c r="E739" t="str">
        <f>TEXT(B739,"mmmm")</f>
        <v>February</v>
      </c>
      <c r="F739">
        <f>YEAR(B739)</f>
        <v>2024</v>
      </c>
      <c r="G739" t="s">
        <v>2289</v>
      </c>
      <c r="H739" t="s">
        <v>47</v>
      </c>
      <c r="I739" t="s">
        <v>95</v>
      </c>
      <c r="J739" t="s">
        <v>63</v>
      </c>
      <c r="K739" t="s">
        <v>64</v>
      </c>
      <c r="L739" t="s">
        <v>65</v>
      </c>
      <c r="M739" t="s">
        <v>41</v>
      </c>
      <c r="N739" t="s">
        <v>66</v>
      </c>
      <c r="O739" t="s">
        <v>2290</v>
      </c>
      <c r="P739" t="s">
        <v>44</v>
      </c>
      <c r="Q739">
        <v>6</v>
      </c>
      <c r="R739">
        <v>601.52</v>
      </c>
      <c r="S739">
        <v>0</v>
      </c>
      <c r="T739" s="12">
        <f>S739</f>
        <v>0</v>
      </c>
      <c r="U739">
        <v>3609.12</v>
      </c>
      <c r="V739">
        <f>Q739*R739*(1-S739)</f>
        <v>3609.12</v>
      </c>
      <c r="W739">
        <v>2645.5</v>
      </c>
      <c r="X739">
        <v>963.62</v>
      </c>
      <c r="Y739">
        <f>V739-W739</f>
        <v>963.61999999999989</v>
      </c>
      <c r="Z739" s="12">
        <f>Y739/V739</f>
        <v>0.2669958327791816</v>
      </c>
      <c r="AA739" t="s">
        <v>32</v>
      </c>
      <c r="AB739" t="s">
        <v>33</v>
      </c>
      <c r="AC739" s="14" t="s">
        <v>2794</v>
      </c>
      <c r="AD739" t="s">
        <v>2782</v>
      </c>
      <c r="AE739" t="str">
        <f>PROPER(TRIM(AB739))</f>
        <v>Completed</v>
      </c>
      <c r="AS739" t="str">
        <f t="shared" si="13"/>
        <v/>
      </c>
    </row>
    <row r="740" spans="1:45">
      <c r="A740" t="s">
        <v>2291</v>
      </c>
      <c r="B740" s="7">
        <v>45708</v>
      </c>
      <c r="C740" s="4">
        <v>45710</v>
      </c>
      <c r="D740">
        <f>C740-B740</f>
        <v>2</v>
      </c>
      <c r="E740" t="str">
        <f>TEXT(B740,"mmmm")</f>
        <v>February</v>
      </c>
      <c r="F740">
        <f>YEAR(B740)</f>
        <v>2025</v>
      </c>
      <c r="G740" t="s">
        <v>2292</v>
      </c>
      <c r="H740" t="s">
        <v>114</v>
      </c>
      <c r="I740" t="s">
        <v>90</v>
      </c>
      <c r="J740" t="s">
        <v>54</v>
      </c>
      <c r="K740" t="s">
        <v>185</v>
      </c>
      <c r="L740" t="s">
        <v>186</v>
      </c>
      <c r="M740" t="s">
        <v>28</v>
      </c>
      <c r="N740" t="s">
        <v>29</v>
      </c>
      <c r="O740" t="s">
        <v>2293</v>
      </c>
      <c r="P740" t="s">
        <v>50</v>
      </c>
      <c r="Q740">
        <v>1</v>
      </c>
      <c r="R740">
        <v>2188.19</v>
      </c>
      <c r="S740">
        <v>0</v>
      </c>
      <c r="T740" s="12">
        <f>S740</f>
        <v>0</v>
      </c>
      <c r="U740">
        <v>2188.19</v>
      </c>
      <c r="V740">
        <f>Q740*R740*(1-S740)</f>
        <v>2188.19</v>
      </c>
      <c r="W740">
        <v>1298.8399999999999</v>
      </c>
      <c r="X740">
        <v>889.35</v>
      </c>
      <c r="Y740">
        <f>V740-W740</f>
        <v>889.35000000000014</v>
      </c>
      <c r="Z740" s="12">
        <f>Y740/V740</f>
        <v>0.40643179979800664</v>
      </c>
      <c r="AA740" t="s">
        <v>32</v>
      </c>
      <c r="AB740" t="s">
        <v>33</v>
      </c>
      <c r="AC740" s="14" t="s">
        <v>2794</v>
      </c>
      <c r="AD740" t="s">
        <v>2782</v>
      </c>
      <c r="AE740" t="str">
        <f>PROPER(TRIM(AB740))</f>
        <v>Completed</v>
      </c>
      <c r="AS740" t="str">
        <f t="shared" si="13"/>
        <v/>
      </c>
    </row>
    <row r="741" spans="1:45">
      <c r="A741" t="s">
        <v>2294</v>
      </c>
      <c r="B741" s="7">
        <v>45629</v>
      </c>
      <c r="C741" s="4">
        <v>45577</v>
      </c>
      <c r="D741" s="10">
        <f>C741-B741</f>
        <v>-52</v>
      </c>
      <c r="E741" t="str">
        <f>TEXT(B741,"mmmm")</f>
        <v>December</v>
      </c>
      <c r="F741">
        <f>YEAR(B741)</f>
        <v>2024</v>
      </c>
      <c r="G741" t="s">
        <v>2295</v>
      </c>
      <c r="H741" t="s">
        <v>79</v>
      </c>
      <c r="I741" t="s">
        <v>90</v>
      </c>
      <c r="J741" t="s">
        <v>25</v>
      </c>
      <c r="K741" t="s">
        <v>26</v>
      </c>
      <c r="L741" t="s">
        <v>27</v>
      </c>
      <c r="M741" t="s">
        <v>74</v>
      </c>
      <c r="N741" t="s">
        <v>171</v>
      </c>
      <c r="O741" t="s">
        <v>2296</v>
      </c>
      <c r="P741" t="s">
        <v>59</v>
      </c>
      <c r="Q741">
        <v>5</v>
      </c>
      <c r="R741">
        <v>2393.86</v>
      </c>
      <c r="S741">
        <v>0.05</v>
      </c>
      <c r="T741" s="12">
        <f>S741</f>
        <v>0.05</v>
      </c>
      <c r="U741">
        <v>11370.84</v>
      </c>
      <c r="V741">
        <f>Q741*R741*(1-S741)</f>
        <v>11370.835000000001</v>
      </c>
      <c r="W741">
        <v>7469.58</v>
      </c>
      <c r="X741">
        <v>3901.26</v>
      </c>
      <c r="Y741">
        <f>V741-W741</f>
        <v>3901.255000000001</v>
      </c>
      <c r="Z741" s="12">
        <f>Y741/V741</f>
        <v>0.34309309738466881</v>
      </c>
      <c r="AA741" t="s">
        <v>32</v>
      </c>
      <c r="AB741" t="s">
        <v>33</v>
      </c>
      <c r="AC741" s="10" t="s">
        <v>2792</v>
      </c>
      <c r="AD741" t="s">
        <v>2782</v>
      </c>
      <c r="AE741" t="str">
        <f>PROPER(TRIM(AB741))</f>
        <v>Completed</v>
      </c>
      <c r="AS741" t="str">
        <f t="shared" si="13"/>
        <v/>
      </c>
    </row>
    <row r="742" spans="1:45">
      <c r="A742" t="s">
        <v>2297</v>
      </c>
      <c r="B742" s="7">
        <v>45384</v>
      </c>
      <c r="C742" s="4">
        <v>45326</v>
      </c>
      <c r="D742" s="10">
        <f>C742-B742</f>
        <v>-58</v>
      </c>
      <c r="E742" t="str">
        <f>TEXT(B742,"mmmm")</f>
        <v>April</v>
      </c>
      <c r="F742">
        <f>YEAR(B742)</f>
        <v>2024</v>
      </c>
      <c r="G742" t="s">
        <v>521</v>
      </c>
      <c r="H742" t="s">
        <v>132</v>
      </c>
      <c r="I742" t="s">
        <v>37</v>
      </c>
      <c r="J742" t="s">
        <v>63</v>
      </c>
      <c r="K742" t="s">
        <v>64</v>
      </c>
      <c r="L742" t="s">
        <v>65</v>
      </c>
      <c r="M742" t="s">
        <v>41</v>
      </c>
      <c r="N742" t="s">
        <v>66</v>
      </c>
      <c r="O742" t="s">
        <v>2298</v>
      </c>
      <c r="P742" t="s">
        <v>50</v>
      </c>
      <c r="Q742">
        <v>4</v>
      </c>
      <c r="R742">
        <v>2583</v>
      </c>
      <c r="S742">
        <v>0.1</v>
      </c>
      <c r="T742" s="12">
        <f>S742</f>
        <v>0.1</v>
      </c>
      <c r="U742">
        <v>9298.7999999999993</v>
      </c>
      <c r="V742">
        <f>Q742*R742*(1-S742)</f>
        <v>9298.8000000000011</v>
      </c>
      <c r="W742">
        <v>6548.5</v>
      </c>
      <c r="X742">
        <v>2750.3</v>
      </c>
      <c r="Y742">
        <f>V742-W742</f>
        <v>2750.3000000000011</v>
      </c>
      <c r="Z742" s="12">
        <f>Y742/V742</f>
        <v>0.29576934658235482</v>
      </c>
      <c r="AA742" t="s">
        <v>32</v>
      </c>
      <c r="AB742" t="s">
        <v>33</v>
      </c>
      <c r="AC742" s="10" t="s">
        <v>2792</v>
      </c>
      <c r="AD742" t="s">
        <v>2782</v>
      </c>
      <c r="AE742" t="str">
        <f>PROPER(TRIM(AB742))</f>
        <v>Completed</v>
      </c>
      <c r="AS742" t="str">
        <f t="shared" si="13"/>
        <v/>
      </c>
    </row>
    <row r="743" spans="1:45">
      <c r="A743" t="s">
        <v>2299</v>
      </c>
      <c r="B743" s="7">
        <v>45770</v>
      </c>
      <c r="C743" s="4">
        <v>45772</v>
      </c>
      <c r="D743">
        <f>C743-B743</f>
        <v>2</v>
      </c>
      <c r="E743" t="str">
        <f>TEXT(B743,"mmmm")</f>
        <v>April</v>
      </c>
      <c r="F743">
        <f>YEAR(B743)</f>
        <v>2025</v>
      </c>
      <c r="G743" t="s">
        <v>2300</v>
      </c>
      <c r="H743" t="s">
        <v>47</v>
      </c>
      <c r="I743" t="s">
        <v>95</v>
      </c>
      <c r="J743" t="s">
        <v>54</v>
      </c>
      <c r="K743" t="s">
        <v>247</v>
      </c>
      <c r="L743" t="s">
        <v>248</v>
      </c>
      <c r="M743" t="s">
        <v>41</v>
      </c>
      <c r="N743" t="s">
        <v>66</v>
      </c>
      <c r="O743" t="s">
        <v>2301</v>
      </c>
      <c r="P743" t="s">
        <v>31</v>
      </c>
      <c r="Q743">
        <v>3</v>
      </c>
      <c r="R743">
        <v>2951.12</v>
      </c>
      <c r="S743">
        <v>0</v>
      </c>
      <c r="T743" s="12">
        <f>S743</f>
        <v>0</v>
      </c>
      <c r="U743">
        <v>7082.69</v>
      </c>
      <c r="V743">
        <f>Q743*R743*(1-S743)</f>
        <v>8853.36</v>
      </c>
      <c r="W743">
        <v>5596.34</v>
      </c>
      <c r="X743">
        <v>1486.35</v>
      </c>
      <c r="Y743">
        <f>V743-W743</f>
        <v>3257.0200000000004</v>
      </c>
      <c r="Z743" s="12">
        <f>Y743/V743</f>
        <v>0.36788518709280998</v>
      </c>
      <c r="AA743" t="s">
        <v>32</v>
      </c>
      <c r="AB743" t="s">
        <v>68</v>
      </c>
      <c r="AC743" s="14" t="s">
        <v>2794</v>
      </c>
      <c r="AD743" t="s">
        <v>2782</v>
      </c>
      <c r="AE743" t="str">
        <f>PROPER(TRIM(AB743))</f>
        <v>Cancelled</v>
      </c>
      <c r="AS743" t="str">
        <f t="shared" si="13"/>
        <v/>
      </c>
    </row>
    <row r="744" spans="1:45">
      <c r="A744" t="s">
        <v>2302</v>
      </c>
      <c r="B744" s="7">
        <v>45580</v>
      </c>
      <c r="C744" s="4">
        <v>45587</v>
      </c>
      <c r="D744">
        <f>C744-B744</f>
        <v>7</v>
      </c>
      <c r="E744" t="str">
        <f>TEXT(B744,"mmmm")</f>
        <v>October</v>
      </c>
      <c r="F744">
        <f>YEAR(B744)</f>
        <v>2024</v>
      </c>
      <c r="G744" t="s">
        <v>2303</v>
      </c>
      <c r="H744" t="s">
        <v>23</v>
      </c>
      <c r="I744" t="s">
        <v>90</v>
      </c>
      <c r="J744" t="s">
        <v>38</v>
      </c>
      <c r="K744" t="s">
        <v>39</v>
      </c>
      <c r="L744" t="s">
        <v>40</v>
      </c>
      <c r="M744" t="s">
        <v>28</v>
      </c>
      <c r="N744" t="s">
        <v>29</v>
      </c>
      <c r="O744" t="s">
        <v>2304</v>
      </c>
      <c r="P744" t="s">
        <v>59</v>
      </c>
      <c r="Q744">
        <v>4</v>
      </c>
      <c r="R744">
        <v>2260.9499999999998</v>
      </c>
      <c r="S744">
        <v>0</v>
      </c>
      <c r="T744" s="12">
        <f>S744</f>
        <v>0</v>
      </c>
      <c r="U744">
        <v>9043.7999999999993</v>
      </c>
      <c r="V744">
        <f>Q744*R744*(1-S744)</f>
        <v>9043.7999999999993</v>
      </c>
      <c r="W744">
        <v>5913.38</v>
      </c>
      <c r="X744">
        <v>3130.42</v>
      </c>
      <c r="Y744">
        <f>V744-W744</f>
        <v>3130.4199999999992</v>
      </c>
      <c r="Z744" s="12">
        <f>Y744/V744</f>
        <v>0.34613989694597397</v>
      </c>
      <c r="AA744" t="s">
        <v>32</v>
      </c>
      <c r="AB744" t="s">
        <v>33</v>
      </c>
      <c r="AC744" s="14" t="s">
        <v>2794</v>
      </c>
      <c r="AD744" t="s">
        <v>2782</v>
      </c>
      <c r="AE744" t="str">
        <f>PROPER(TRIM(AB744))</f>
        <v>Completed</v>
      </c>
      <c r="AS744" t="str">
        <f t="shared" si="13"/>
        <v/>
      </c>
    </row>
    <row r="745" spans="1:45">
      <c r="A745" t="s">
        <v>2305</v>
      </c>
      <c r="B745" s="7">
        <v>45993</v>
      </c>
      <c r="C745" s="4">
        <v>45702</v>
      </c>
      <c r="D745" s="10">
        <f>C745-B745</f>
        <v>-291</v>
      </c>
      <c r="E745" t="str">
        <f>TEXT(B745,"mmmm")</f>
        <v>December</v>
      </c>
      <c r="F745">
        <f>YEAR(B745)</f>
        <v>2025</v>
      </c>
      <c r="G745" t="s">
        <v>2306</v>
      </c>
      <c r="H745" t="s">
        <v>132</v>
      </c>
      <c r="I745" t="s">
        <v>24</v>
      </c>
      <c r="J745" t="s">
        <v>25</v>
      </c>
      <c r="K745" t="s">
        <v>136</v>
      </c>
      <c r="L745" t="s">
        <v>137</v>
      </c>
      <c r="M745" t="s">
        <v>28</v>
      </c>
      <c r="N745" t="s">
        <v>48</v>
      </c>
      <c r="O745" t="s">
        <v>2307</v>
      </c>
      <c r="P745" t="s">
        <v>59</v>
      </c>
      <c r="Q745">
        <v>6</v>
      </c>
      <c r="R745">
        <v>491.4</v>
      </c>
      <c r="S745">
        <v>0.25</v>
      </c>
      <c r="T745" s="12">
        <f>S745</f>
        <v>0.25</v>
      </c>
      <c r="U745">
        <v>2211.3000000000002</v>
      </c>
      <c r="V745">
        <f>Q745*R745*(1-S745)</f>
        <v>2211.2999999999997</v>
      </c>
      <c r="W745">
        <v>1735.64</v>
      </c>
      <c r="X745">
        <v>475.66</v>
      </c>
      <c r="Y745">
        <f>V745-W745</f>
        <v>475.65999999999963</v>
      </c>
      <c r="Z745" s="12">
        <f>Y745/V745</f>
        <v>0.21510423732645942</v>
      </c>
      <c r="AA745" t="s">
        <v>32</v>
      </c>
      <c r="AB745" t="s">
        <v>33</v>
      </c>
      <c r="AC745" s="10" t="s">
        <v>2792</v>
      </c>
      <c r="AD745" t="s">
        <v>2782</v>
      </c>
      <c r="AE745" t="str">
        <f>PROPER(TRIM(AB745))</f>
        <v>Completed</v>
      </c>
      <c r="AS745" t="str">
        <f t="shared" si="13"/>
        <v/>
      </c>
    </row>
    <row r="746" spans="1:45">
      <c r="A746" t="s">
        <v>2308</v>
      </c>
      <c r="B746" s="7">
        <v>45886</v>
      </c>
      <c r="C746" s="4">
        <v>45889</v>
      </c>
      <c r="D746">
        <f>C746-B746</f>
        <v>3</v>
      </c>
      <c r="E746" t="str">
        <f>TEXT(B746,"mmmm")</f>
        <v>August</v>
      </c>
      <c r="F746">
        <f>YEAR(B746)</f>
        <v>2025</v>
      </c>
      <c r="G746" t="s">
        <v>2309</v>
      </c>
      <c r="H746" t="s">
        <v>36</v>
      </c>
      <c r="I746" t="s">
        <v>95</v>
      </c>
      <c r="J746" t="s">
        <v>25</v>
      </c>
      <c r="K746" t="s">
        <v>122</v>
      </c>
      <c r="L746" t="s">
        <v>123</v>
      </c>
      <c r="M746" t="s">
        <v>28</v>
      </c>
      <c r="N746" t="s">
        <v>153</v>
      </c>
      <c r="O746" t="s">
        <v>2310</v>
      </c>
      <c r="P746" t="s">
        <v>50</v>
      </c>
      <c r="Q746">
        <v>5</v>
      </c>
      <c r="R746">
        <v>2701.89</v>
      </c>
      <c r="S746">
        <v>0.1</v>
      </c>
      <c r="T746" s="12">
        <f>S746</f>
        <v>0.1</v>
      </c>
      <c r="U746">
        <v>12158.5</v>
      </c>
      <c r="V746">
        <f>Q746*R746*(1-S746)</f>
        <v>12158.504999999999</v>
      </c>
      <c r="W746">
        <v>10260.07</v>
      </c>
      <c r="X746">
        <v>1898.43</v>
      </c>
      <c r="Y746">
        <f>V746-W746</f>
        <v>1898.4349999999995</v>
      </c>
      <c r="Z746" s="12">
        <f>Y746/V746</f>
        <v>0.15614049589155901</v>
      </c>
      <c r="AA746" t="s">
        <v>32</v>
      </c>
      <c r="AB746" t="s">
        <v>68</v>
      </c>
      <c r="AC746" s="14" t="s">
        <v>2794</v>
      </c>
      <c r="AD746" t="s">
        <v>2782</v>
      </c>
      <c r="AE746" t="str">
        <f>PROPER(TRIM(AB746))</f>
        <v>Cancelled</v>
      </c>
      <c r="AS746" t="str">
        <f t="shared" si="13"/>
        <v/>
      </c>
    </row>
    <row r="747" spans="1:45">
      <c r="A747" t="s">
        <v>2311</v>
      </c>
      <c r="B747" s="7">
        <v>45589</v>
      </c>
      <c r="C747" s="4">
        <v>45593</v>
      </c>
      <c r="D747">
        <f>C747-B747</f>
        <v>4</v>
      </c>
      <c r="E747" t="str">
        <f>TEXT(B747,"mmmm")</f>
        <v>October</v>
      </c>
      <c r="F747">
        <f>YEAR(B747)</f>
        <v>2024</v>
      </c>
      <c r="G747" t="s">
        <v>2312</v>
      </c>
      <c r="H747" t="s">
        <v>36</v>
      </c>
      <c r="I747" t="s">
        <v>37</v>
      </c>
      <c r="J747" t="s">
        <v>38</v>
      </c>
      <c r="K747" t="s">
        <v>166</v>
      </c>
      <c r="L747" t="s">
        <v>167</v>
      </c>
      <c r="M747" t="s">
        <v>74</v>
      </c>
      <c r="N747" t="s">
        <v>80</v>
      </c>
      <c r="O747" t="s">
        <v>2313</v>
      </c>
      <c r="P747" t="s">
        <v>59</v>
      </c>
      <c r="Q747">
        <v>3</v>
      </c>
      <c r="R747">
        <v>723.59</v>
      </c>
      <c r="S747">
        <v>0.2</v>
      </c>
      <c r="T747" s="12">
        <f>S747</f>
        <v>0.2</v>
      </c>
      <c r="U747">
        <v>1736.62</v>
      </c>
      <c r="V747">
        <f>Q747*R747*(1-S747)</f>
        <v>1736.616</v>
      </c>
      <c r="W747">
        <v>1059.52</v>
      </c>
      <c r="X747">
        <v>677.1</v>
      </c>
      <c r="Y747">
        <f>V747-W747</f>
        <v>677.096</v>
      </c>
      <c r="Z747" s="12">
        <f>Y747/V747</f>
        <v>0.38989390861307277</v>
      </c>
      <c r="AA747" t="s">
        <v>32</v>
      </c>
      <c r="AB747" t="s">
        <v>33</v>
      </c>
      <c r="AC747" s="14" t="s">
        <v>2794</v>
      </c>
      <c r="AD747" t="s">
        <v>2782</v>
      </c>
      <c r="AE747" t="str">
        <f>PROPER(TRIM(AB747))</f>
        <v>Completed</v>
      </c>
      <c r="AS747" t="str">
        <f t="shared" si="13"/>
        <v/>
      </c>
    </row>
    <row r="748" spans="1:45">
      <c r="A748" t="s">
        <v>2314</v>
      </c>
      <c r="B748" s="7">
        <v>45661</v>
      </c>
      <c r="C748" s="4">
        <v>45667</v>
      </c>
      <c r="D748">
        <f>C748-B748</f>
        <v>6</v>
      </c>
      <c r="E748" t="str">
        <f>TEXT(B748,"mmmm")</f>
        <v>January</v>
      </c>
      <c r="F748">
        <f>YEAR(B748)</f>
        <v>2025</v>
      </c>
      <c r="G748" t="s">
        <v>2023</v>
      </c>
      <c r="H748" t="s">
        <v>128</v>
      </c>
      <c r="I748" t="s">
        <v>95</v>
      </c>
      <c r="J748" t="s">
        <v>38</v>
      </c>
      <c r="K748" t="s">
        <v>99</v>
      </c>
      <c r="L748" t="s">
        <v>100</v>
      </c>
      <c r="M748" t="s">
        <v>28</v>
      </c>
      <c r="N748" t="s">
        <v>29</v>
      </c>
      <c r="O748" t="s">
        <v>2315</v>
      </c>
      <c r="P748" t="s">
        <v>59</v>
      </c>
      <c r="Q748">
        <v>4</v>
      </c>
      <c r="R748">
        <v>2583.19</v>
      </c>
      <c r="S748">
        <v>0.2</v>
      </c>
      <c r="T748" s="12">
        <f>S748</f>
        <v>0.2</v>
      </c>
      <c r="U748">
        <v>8266.2099999999991</v>
      </c>
      <c r="V748">
        <f>Q748*R748*(1-S748)</f>
        <v>8266.2080000000005</v>
      </c>
      <c r="W748">
        <v>6236.32</v>
      </c>
      <c r="X748">
        <v>2029.89</v>
      </c>
      <c r="Y748">
        <f>V748-W748</f>
        <v>2029.8880000000008</v>
      </c>
      <c r="Z748" s="12">
        <f>Y748/V748</f>
        <v>0.24556459261610653</v>
      </c>
      <c r="AA748" t="s">
        <v>32</v>
      </c>
      <c r="AB748" t="s">
        <v>33</v>
      </c>
      <c r="AC748" s="14" t="s">
        <v>2794</v>
      </c>
      <c r="AD748" t="s">
        <v>2782</v>
      </c>
      <c r="AE748" t="str">
        <f>PROPER(TRIM(AB748))</f>
        <v>Completed</v>
      </c>
      <c r="AS748" t="str">
        <f t="shared" si="13"/>
        <v/>
      </c>
    </row>
    <row r="749" spans="1:45">
      <c r="A749" t="s">
        <v>2316</v>
      </c>
      <c r="B749" s="7">
        <v>45413</v>
      </c>
      <c r="C749" s="4">
        <v>45419</v>
      </c>
      <c r="D749">
        <f>C749-B749</f>
        <v>6</v>
      </c>
      <c r="E749" t="str">
        <f>TEXT(B749,"mmmm")</f>
        <v>May</v>
      </c>
      <c r="F749">
        <f>YEAR(B749)</f>
        <v>2024</v>
      </c>
      <c r="G749" t="s">
        <v>2317</v>
      </c>
      <c r="H749" t="s">
        <v>47</v>
      </c>
      <c r="I749" t="s">
        <v>95</v>
      </c>
      <c r="J749" t="s">
        <v>38</v>
      </c>
      <c r="K749" t="s">
        <v>39</v>
      </c>
      <c r="L749" t="s">
        <v>40</v>
      </c>
      <c r="M749" t="s">
        <v>28</v>
      </c>
      <c r="N749" t="s">
        <v>29</v>
      </c>
      <c r="O749" t="s">
        <v>2318</v>
      </c>
      <c r="P749" t="s">
        <v>44</v>
      </c>
      <c r="Q749">
        <v>8</v>
      </c>
      <c r="R749">
        <v>1473.83</v>
      </c>
      <c r="S749">
        <v>0.15</v>
      </c>
      <c r="T749" s="12">
        <f>S749</f>
        <v>0.15</v>
      </c>
      <c r="U749">
        <v>10022.040000000001</v>
      </c>
      <c r="V749">
        <f>Q749*R749*(1-S749)</f>
        <v>10022.044</v>
      </c>
      <c r="W749">
        <v>5576.98</v>
      </c>
      <c r="X749">
        <v>4445.0600000000004</v>
      </c>
      <c r="Y749">
        <f>V749-W749</f>
        <v>4445.0640000000003</v>
      </c>
      <c r="Z749" s="12">
        <f>Y749/V749</f>
        <v>0.44352868536597928</v>
      </c>
      <c r="AA749" t="s">
        <v>32</v>
      </c>
      <c r="AB749" t="s">
        <v>33</v>
      </c>
      <c r="AC749" s="14" t="s">
        <v>2794</v>
      </c>
      <c r="AD749" t="s">
        <v>2782</v>
      </c>
      <c r="AE749" t="str">
        <f>PROPER(TRIM(AB749))</f>
        <v>Completed</v>
      </c>
      <c r="AS749" t="str">
        <f t="shared" si="13"/>
        <v/>
      </c>
    </row>
    <row r="750" spans="1:45">
      <c r="A750" t="s">
        <v>2319</v>
      </c>
      <c r="B750" s="7">
        <v>45442</v>
      </c>
      <c r="C750" s="4">
        <v>45442</v>
      </c>
      <c r="D750">
        <f>C750-B750</f>
        <v>0</v>
      </c>
      <c r="E750" t="str">
        <f>TEXT(B750,"mmmm")</f>
        <v>May</v>
      </c>
      <c r="F750">
        <f>YEAR(B750)</f>
        <v>2024</v>
      </c>
      <c r="G750" t="s">
        <v>2320</v>
      </c>
      <c r="H750" t="s">
        <v>162</v>
      </c>
      <c r="I750" t="s">
        <v>95</v>
      </c>
      <c r="J750" t="s">
        <v>25</v>
      </c>
      <c r="K750" t="s">
        <v>236</v>
      </c>
      <c r="L750" t="s">
        <v>237</v>
      </c>
      <c r="M750" t="s">
        <v>74</v>
      </c>
      <c r="N750" t="s">
        <v>171</v>
      </c>
      <c r="O750" t="s">
        <v>2321</v>
      </c>
      <c r="P750" t="s">
        <v>31</v>
      </c>
      <c r="Q750">
        <v>1</v>
      </c>
      <c r="R750">
        <v>3848.04</v>
      </c>
      <c r="S750">
        <v>0.25</v>
      </c>
      <c r="T750" s="12">
        <f>S750</f>
        <v>0.25</v>
      </c>
      <c r="U750">
        <v>2886.03</v>
      </c>
      <c r="V750">
        <f>Q750*R750*(1-S750)</f>
        <v>2886.0299999999997</v>
      </c>
      <c r="W750">
        <v>2064.83</v>
      </c>
      <c r="X750">
        <v>821.2</v>
      </c>
      <c r="Y750">
        <f>V750-W750</f>
        <v>821.19999999999982</v>
      </c>
      <c r="Z750" s="12">
        <f>Y750/V750</f>
        <v>0.28454312671732446</v>
      </c>
      <c r="AA750" t="s">
        <v>32</v>
      </c>
      <c r="AB750" t="s">
        <v>33</v>
      </c>
      <c r="AC750" s="14" t="s">
        <v>2794</v>
      </c>
      <c r="AD750" t="s">
        <v>2782</v>
      </c>
      <c r="AE750" t="str">
        <f>PROPER(TRIM(AB750))</f>
        <v>Completed</v>
      </c>
      <c r="AS750" t="str">
        <f t="shared" si="13"/>
        <v/>
      </c>
    </row>
    <row r="751" spans="1:45">
      <c r="A751" t="s">
        <v>2322</v>
      </c>
      <c r="B751" s="7">
        <v>45372</v>
      </c>
      <c r="C751" s="4">
        <v>45376</v>
      </c>
      <c r="D751">
        <f>C751-B751</f>
        <v>4</v>
      </c>
      <c r="E751" t="str">
        <f>TEXT(B751,"mmmm")</f>
        <v>March</v>
      </c>
      <c r="F751">
        <f>YEAR(B751)</f>
        <v>2024</v>
      </c>
      <c r="G751" t="s">
        <v>2323</v>
      </c>
      <c r="H751" t="s">
        <v>89</v>
      </c>
      <c r="I751" t="s">
        <v>95</v>
      </c>
      <c r="J751" t="s">
        <v>38</v>
      </c>
      <c r="K751" t="s">
        <v>166</v>
      </c>
      <c r="L751" t="s">
        <v>167</v>
      </c>
      <c r="M751" t="s">
        <v>74</v>
      </c>
      <c r="N751" t="s">
        <v>274</v>
      </c>
      <c r="O751" t="s">
        <v>2324</v>
      </c>
      <c r="P751" t="s">
        <v>59</v>
      </c>
      <c r="Q751">
        <v>1</v>
      </c>
      <c r="R751">
        <v>1716.7</v>
      </c>
      <c r="S751">
        <v>0.15</v>
      </c>
      <c r="T751" s="12">
        <f>S751</f>
        <v>0.15</v>
      </c>
      <c r="U751">
        <v>1459.19</v>
      </c>
      <c r="V751">
        <f>Q751*R751*(1-S751)</f>
        <v>1459.1949999999999</v>
      </c>
      <c r="W751">
        <v>1055.79</v>
      </c>
      <c r="X751">
        <v>403.4</v>
      </c>
      <c r="Y751">
        <f>V751-W751</f>
        <v>403.40499999999997</v>
      </c>
      <c r="Z751" s="12">
        <f>Y751/V751</f>
        <v>0.27645722470266137</v>
      </c>
      <c r="AA751" t="s">
        <v>32</v>
      </c>
      <c r="AB751" t="s">
        <v>33</v>
      </c>
      <c r="AC751" s="14" t="s">
        <v>2794</v>
      </c>
      <c r="AD751" t="s">
        <v>2782</v>
      </c>
      <c r="AE751" t="str">
        <f>PROPER(TRIM(AB751))</f>
        <v>Completed</v>
      </c>
      <c r="AS751" t="str">
        <f t="shared" si="13"/>
        <v/>
      </c>
    </row>
    <row r="752" spans="1:45">
      <c r="A752" t="s">
        <v>2325</v>
      </c>
      <c r="B752" s="7">
        <v>45694</v>
      </c>
      <c r="C752" s="4">
        <v>45810</v>
      </c>
      <c r="D752">
        <f>C752-B752</f>
        <v>116</v>
      </c>
      <c r="E752" t="str">
        <f>TEXT(B752,"mmmm")</f>
        <v>February</v>
      </c>
      <c r="F752">
        <f>YEAR(B752)</f>
        <v>2025</v>
      </c>
      <c r="G752" t="s">
        <v>2326</v>
      </c>
      <c r="H752" t="s">
        <v>128</v>
      </c>
      <c r="I752" t="s">
        <v>95</v>
      </c>
      <c r="J752" t="s">
        <v>54</v>
      </c>
      <c r="K752" t="s">
        <v>55</v>
      </c>
      <c r="L752" t="s">
        <v>56</v>
      </c>
      <c r="M752" t="s">
        <v>74</v>
      </c>
      <c r="N752" t="s">
        <v>75</v>
      </c>
      <c r="O752" t="s">
        <v>2327</v>
      </c>
      <c r="P752" t="s">
        <v>50</v>
      </c>
      <c r="Q752">
        <v>8</v>
      </c>
      <c r="R752">
        <v>3925.93</v>
      </c>
      <c r="S752">
        <v>0.15</v>
      </c>
      <c r="T752" s="12">
        <f>S752</f>
        <v>0.15</v>
      </c>
      <c r="U752">
        <v>26696.32</v>
      </c>
      <c r="V752">
        <f>Q752*R752*(1-S752)</f>
        <v>26696.323999999997</v>
      </c>
      <c r="W752">
        <v>22724.52</v>
      </c>
      <c r="X752">
        <v>3971.8</v>
      </c>
      <c r="Y752">
        <f>V752-W752</f>
        <v>3971.8039999999964</v>
      </c>
      <c r="Z752" s="12">
        <f>Y752/V752</f>
        <v>0.14877718745097629</v>
      </c>
      <c r="AA752" t="s">
        <v>32</v>
      </c>
      <c r="AB752" t="s">
        <v>33</v>
      </c>
      <c r="AC752" s="14" t="s">
        <v>2794</v>
      </c>
      <c r="AD752" t="s">
        <v>2782</v>
      </c>
      <c r="AE752" t="str">
        <f>PROPER(TRIM(AB752))</f>
        <v>Completed</v>
      </c>
      <c r="AS752" t="str">
        <f t="shared" si="13"/>
        <v/>
      </c>
    </row>
    <row r="753" spans="1:45">
      <c r="A753" t="s">
        <v>2328</v>
      </c>
      <c r="B753" s="7">
        <v>45856</v>
      </c>
      <c r="C753" s="4">
        <v>45857</v>
      </c>
      <c r="D753">
        <f>C753-B753</f>
        <v>1</v>
      </c>
      <c r="E753" t="str">
        <f>TEXT(B753,"mmmm")</f>
        <v>July</v>
      </c>
      <c r="F753">
        <f>YEAR(B753)</f>
        <v>2025</v>
      </c>
      <c r="G753" t="s">
        <v>2329</v>
      </c>
      <c r="H753" t="s">
        <v>114</v>
      </c>
      <c r="I753" t="s">
        <v>95</v>
      </c>
      <c r="J753" t="s">
        <v>2783</v>
      </c>
      <c r="K753" t="s">
        <v>136</v>
      </c>
      <c r="L753" t="s">
        <v>137</v>
      </c>
      <c r="M753" t="s">
        <v>74</v>
      </c>
      <c r="N753" t="s">
        <v>274</v>
      </c>
      <c r="O753" t="s">
        <v>2330</v>
      </c>
      <c r="P753" t="s">
        <v>2783</v>
      </c>
      <c r="Q753">
        <v>3</v>
      </c>
      <c r="R753">
        <v>2963.25</v>
      </c>
      <c r="S753">
        <v>0.05</v>
      </c>
      <c r="T753" s="12">
        <f>S753</f>
        <v>0.05</v>
      </c>
      <c r="U753">
        <v>8445.26</v>
      </c>
      <c r="V753">
        <f>Q753*R753*(1-S753)</f>
        <v>8445.2624999999989</v>
      </c>
      <c r="W753">
        <v>6937.6</v>
      </c>
      <c r="X753">
        <v>1507.66</v>
      </c>
      <c r="Y753">
        <f>V753-W753</f>
        <v>1507.6624999999985</v>
      </c>
      <c r="Z753" s="12">
        <f>Y753/V753</f>
        <v>0.17852168597482893</v>
      </c>
      <c r="AA753" t="s">
        <v>32</v>
      </c>
      <c r="AB753" t="s">
        <v>33</v>
      </c>
      <c r="AC753" s="10" t="s">
        <v>2797</v>
      </c>
      <c r="AD753" t="s">
        <v>2782</v>
      </c>
      <c r="AE753" t="str">
        <f>PROPER(TRIM(AB753))</f>
        <v>Completed</v>
      </c>
      <c r="AS753" t="str">
        <f t="shared" si="13"/>
        <v/>
      </c>
    </row>
    <row r="754" spans="1:45">
      <c r="A754" t="s">
        <v>2331</v>
      </c>
      <c r="B754" s="7">
        <v>45375</v>
      </c>
      <c r="C754" s="4">
        <v>45378</v>
      </c>
      <c r="D754">
        <f>C754-B754</f>
        <v>3</v>
      </c>
      <c r="E754" t="str">
        <f>TEXT(B754,"mmmm")</f>
        <v>March</v>
      </c>
      <c r="F754">
        <f>YEAR(B754)</f>
        <v>2024</v>
      </c>
      <c r="G754" t="s">
        <v>2332</v>
      </c>
      <c r="H754" t="s">
        <v>89</v>
      </c>
      <c r="I754" t="s">
        <v>90</v>
      </c>
      <c r="J754" t="s">
        <v>63</v>
      </c>
      <c r="K754" t="s">
        <v>180</v>
      </c>
      <c r="L754" t="s">
        <v>181</v>
      </c>
      <c r="M754" t="s">
        <v>28</v>
      </c>
      <c r="N754" t="s">
        <v>124</v>
      </c>
      <c r="O754" t="s">
        <v>2333</v>
      </c>
      <c r="P754" t="s">
        <v>50</v>
      </c>
      <c r="Q754">
        <v>5</v>
      </c>
      <c r="R754">
        <v>2465.2199999999998</v>
      </c>
      <c r="S754">
        <v>0.05</v>
      </c>
      <c r="T754" s="12">
        <f>S754</f>
        <v>0.05</v>
      </c>
      <c r="U754">
        <v>11709.79</v>
      </c>
      <c r="V754">
        <f>Q754*R754*(1-S754)</f>
        <v>11709.794999999998</v>
      </c>
      <c r="W754">
        <v>8372.2900000000009</v>
      </c>
      <c r="X754">
        <v>3337.5</v>
      </c>
      <c r="Y754">
        <f>V754-W754</f>
        <v>3337.5049999999974</v>
      </c>
      <c r="Z754" s="12">
        <f>Y754/V754</f>
        <v>0.28501822619439521</v>
      </c>
      <c r="AA754" t="s">
        <v>32</v>
      </c>
      <c r="AB754" t="s">
        <v>33</v>
      </c>
      <c r="AC754" s="14" t="s">
        <v>2794</v>
      </c>
      <c r="AD754" t="s">
        <v>2782</v>
      </c>
      <c r="AE754" t="str">
        <f>PROPER(TRIM(AB754))</f>
        <v>Completed</v>
      </c>
      <c r="AS754" t="str">
        <f t="shared" si="13"/>
        <v/>
      </c>
    </row>
    <row r="755" spans="1:45">
      <c r="A755" t="s">
        <v>2334</v>
      </c>
      <c r="B755" s="7">
        <v>45515</v>
      </c>
      <c r="C755" s="4">
        <v>45514</v>
      </c>
      <c r="D755" s="10">
        <f>C755-B755</f>
        <v>-1</v>
      </c>
      <c r="E755" t="str">
        <f>TEXT(B755,"mmmm")</f>
        <v>August</v>
      </c>
      <c r="F755">
        <f>YEAR(B755)</f>
        <v>2024</v>
      </c>
      <c r="G755" t="s">
        <v>2335</v>
      </c>
      <c r="H755" t="s">
        <v>89</v>
      </c>
      <c r="I755" t="s">
        <v>90</v>
      </c>
      <c r="J755" t="s">
        <v>25</v>
      </c>
      <c r="K755" t="s">
        <v>350</v>
      </c>
      <c r="L755" t="s">
        <v>351</v>
      </c>
      <c r="M755" t="s">
        <v>41</v>
      </c>
      <c r="N755" t="s">
        <v>57</v>
      </c>
      <c r="O755" t="s">
        <v>2336</v>
      </c>
      <c r="P755" t="s">
        <v>31</v>
      </c>
      <c r="Q755">
        <v>3</v>
      </c>
      <c r="R755">
        <v>1017.22</v>
      </c>
      <c r="S755">
        <v>0.15</v>
      </c>
      <c r="T755" s="12">
        <f>S755</f>
        <v>0.15</v>
      </c>
      <c r="U755">
        <v>2593.91</v>
      </c>
      <c r="V755">
        <f>Q755*R755*(1-S755)</f>
        <v>2593.9109999999996</v>
      </c>
      <c r="W755">
        <v>1848.48</v>
      </c>
      <c r="X755">
        <v>745.43</v>
      </c>
      <c r="Y755">
        <f>V755-W755</f>
        <v>745.43099999999959</v>
      </c>
      <c r="Z755" s="12">
        <f>Y755/V755</f>
        <v>0.28737724617382776</v>
      </c>
      <c r="AA755" t="s">
        <v>155</v>
      </c>
      <c r="AB755" t="s">
        <v>103</v>
      </c>
      <c r="AC755" s="10" t="s">
        <v>2792</v>
      </c>
      <c r="AD755" t="s">
        <v>2782</v>
      </c>
      <c r="AE755" t="str">
        <f>PROPER(TRIM(AB755))</f>
        <v>Returned</v>
      </c>
      <c r="AS755" t="str">
        <f t="shared" si="13"/>
        <v/>
      </c>
    </row>
    <row r="756" spans="1:45">
      <c r="A756" t="s">
        <v>2337</v>
      </c>
      <c r="B756" s="7">
        <v>45753</v>
      </c>
      <c r="C756" s="4">
        <v>45753</v>
      </c>
      <c r="D756">
        <f>C756-B756</f>
        <v>0</v>
      </c>
      <c r="E756" t="str">
        <f>TEXT(B756,"mmmm")</f>
        <v>April</v>
      </c>
      <c r="F756">
        <f>YEAR(B756)</f>
        <v>2025</v>
      </c>
      <c r="G756" t="s">
        <v>2338</v>
      </c>
      <c r="H756" t="s">
        <v>79</v>
      </c>
      <c r="I756" t="s">
        <v>90</v>
      </c>
      <c r="J756" t="s">
        <v>54</v>
      </c>
      <c r="K756" t="s">
        <v>185</v>
      </c>
      <c r="L756" t="s">
        <v>186</v>
      </c>
      <c r="M756" t="s">
        <v>28</v>
      </c>
      <c r="N756" t="s">
        <v>124</v>
      </c>
      <c r="O756" t="s">
        <v>2339</v>
      </c>
      <c r="P756" t="s">
        <v>59</v>
      </c>
      <c r="Q756">
        <v>4</v>
      </c>
      <c r="R756">
        <v>891.34</v>
      </c>
      <c r="S756">
        <v>0.25</v>
      </c>
      <c r="T756" s="12">
        <f>S756</f>
        <v>0.25</v>
      </c>
      <c r="U756">
        <v>2674.02</v>
      </c>
      <c r="V756">
        <f>Q756*R756*(1-S756)</f>
        <v>2674.02</v>
      </c>
      <c r="W756">
        <v>2207.5700000000002</v>
      </c>
      <c r="X756">
        <v>466.45</v>
      </c>
      <c r="Y756">
        <f>V756-W756</f>
        <v>466.44999999999982</v>
      </c>
      <c r="Z756" s="12">
        <f>Y756/V756</f>
        <v>0.17443773793763689</v>
      </c>
      <c r="AA756" t="s">
        <v>32</v>
      </c>
      <c r="AB756" t="s">
        <v>33</v>
      </c>
      <c r="AC756" s="14" t="s">
        <v>2794</v>
      </c>
      <c r="AD756" t="s">
        <v>2782</v>
      </c>
      <c r="AE756" t="str">
        <f>PROPER(TRIM(AB756))</f>
        <v>Completed</v>
      </c>
      <c r="AS756" t="str">
        <f t="shared" si="13"/>
        <v/>
      </c>
    </row>
    <row r="757" spans="1:45">
      <c r="A757" t="s">
        <v>2340</v>
      </c>
      <c r="B757" s="7">
        <v>45858</v>
      </c>
      <c r="C757" s="4">
        <v>45862</v>
      </c>
      <c r="D757">
        <f>C757-B757</f>
        <v>4</v>
      </c>
      <c r="E757" t="str">
        <f>TEXT(B757,"mmmm")</f>
        <v>July</v>
      </c>
      <c r="F757">
        <f>YEAR(B757)</f>
        <v>2025</v>
      </c>
      <c r="G757" t="s">
        <v>2341</v>
      </c>
      <c r="H757" t="s">
        <v>114</v>
      </c>
      <c r="I757" t="s">
        <v>95</v>
      </c>
      <c r="J757" t="s">
        <v>63</v>
      </c>
      <c r="K757" t="s">
        <v>72</v>
      </c>
      <c r="L757" t="s">
        <v>73</v>
      </c>
      <c r="M757" t="s">
        <v>28</v>
      </c>
      <c r="N757" t="s">
        <v>124</v>
      </c>
      <c r="O757" t="s">
        <v>2342</v>
      </c>
      <c r="P757" t="s">
        <v>31</v>
      </c>
      <c r="Q757">
        <v>5</v>
      </c>
      <c r="R757">
        <v>2481.7399999999998</v>
      </c>
      <c r="S757">
        <v>0.2</v>
      </c>
      <c r="T757" s="12">
        <f>S757</f>
        <v>0.2</v>
      </c>
      <c r="U757">
        <v>9926.9599999999991</v>
      </c>
      <c r="V757">
        <f>Q757*R757*(1-S757)</f>
        <v>9926.9599999999991</v>
      </c>
      <c r="W757">
        <v>7994.98</v>
      </c>
      <c r="X757">
        <v>1931.98</v>
      </c>
      <c r="Y757">
        <f>V757-W757</f>
        <v>1931.9799999999996</v>
      </c>
      <c r="Z757" s="12">
        <f>Y757/V757</f>
        <v>0.19461950083409219</v>
      </c>
      <c r="AA757" t="s">
        <v>32</v>
      </c>
      <c r="AB757" t="s">
        <v>33</v>
      </c>
      <c r="AC757" s="14" t="s">
        <v>2794</v>
      </c>
      <c r="AD757" t="s">
        <v>2782</v>
      </c>
      <c r="AE757" t="str">
        <f>PROPER(TRIM(AB757))</f>
        <v>Completed</v>
      </c>
      <c r="AS757" t="str">
        <f t="shared" si="13"/>
        <v/>
      </c>
    </row>
    <row r="758" spans="1:45">
      <c r="A758" t="s">
        <v>2343</v>
      </c>
      <c r="B758" s="7">
        <v>45592</v>
      </c>
      <c r="C758" s="4">
        <v>45302</v>
      </c>
      <c r="D758" s="10">
        <f>C758-B758</f>
        <v>-290</v>
      </c>
      <c r="E758" t="str">
        <f>TEXT(B758,"mmmm")</f>
        <v>October</v>
      </c>
      <c r="F758">
        <f>YEAR(B758)</f>
        <v>2024</v>
      </c>
      <c r="G758" t="s">
        <v>2344</v>
      </c>
      <c r="H758" t="s">
        <v>141</v>
      </c>
      <c r="I758" t="s">
        <v>24</v>
      </c>
      <c r="J758" t="s">
        <v>25</v>
      </c>
      <c r="K758" t="s">
        <v>26</v>
      </c>
      <c r="L758" t="s">
        <v>27</v>
      </c>
      <c r="M758" t="s">
        <v>74</v>
      </c>
      <c r="N758" t="s">
        <v>75</v>
      </c>
      <c r="O758" t="s">
        <v>2345</v>
      </c>
      <c r="P758" t="s">
        <v>44</v>
      </c>
      <c r="Q758">
        <v>7</v>
      </c>
      <c r="R758">
        <v>2177.1</v>
      </c>
      <c r="S758">
        <v>0.2</v>
      </c>
      <c r="T758" s="12">
        <f>S758</f>
        <v>0.2</v>
      </c>
      <c r="U758">
        <v>12191.76</v>
      </c>
      <c r="V758">
        <f>Q758*R758*(1-S758)</f>
        <v>12191.76</v>
      </c>
      <c r="W758">
        <v>10457.49</v>
      </c>
      <c r="X758">
        <v>1734.27</v>
      </c>
      <c r="Y758">
        <f>V758-W758</f>
        <v>1734.2700000000004</v>
      </c>
      <c r="Z758" s="12">
        <f>Y758/V758</f>
        <v>0.14224935530226976</v>
      </c>
      <c r="AA758" t="s">
        <v>32</v>
      </c>
      <c r="AB758" t="s">
        <v>103</v>
      </c>
      <c r="AC758" s="10" t="s">
        <v>2792</v>
      </c>
      <c r="AD758" t="s">
        <v>2782</v>
      </c>
      <c r="AE758" t="str">
        <f>PROPER(TRIM(AB758))</f>
        <v>Returned</v>
      </c>
      <c r="AS758" t="str">
        <f t="shared" si="13"/>
        <v/>
      </c>
    </row>
    <row r="759" spans="1:45">
      <c r="A759" t="s">
        <v>2346</v>
      </c>
      <c r="B759" s="7">
        <v>45870</v>
      </c>
      <c r="C759" s="4">
        <v>45872</v>
      </c>
      <c r="D759">
        <f>C759-B759</f>
        <v>2</v>
      </c>
      <c r="E759" t="str">
        <f>TEXT(B759,"mmmm")</f>
        <v>August</v>
      </c>
      <c r="F759">
        <f>YEAR(B759)</f>
        <v>2025</v>
      </c>
      <c r="G759" t="s">
        <v>2347</v>
      </c>
      <c r="H759" t="s">
        <v>89</v>
      </c>
      <c r="I759" t="s">
        <v>37</v>
      </c>
      <c r="J759" t="s">
        <v>54</v>
      </c>
      <c r="K759" t="s">
        <v>185</v>
      </c>
      <c r="L759" t="s">
        <v>186</v>
      </c>
      <c r="M759" t="s">
        <v>41</v>
      </c>
      <c r="N759" t="s">
        <v>158</v>
      </c>
      <c r="O759" t="s">
        <v>2348</v>
      </c>
      <c r="P759" t="s">
        <v>59</v>
      </c>
      <c r="Q759">
        <v>3</v>
      </c>
      <c r="R759">
        <v>1904.78</v>
      </c>
      <c r="S759">
        <v>0.25</v>
      </c>
      <c r="T759" s="12">
        <f>S759</f>
        <v>0.25</v>
      </c>
      <c r="U759">
        <v>4285.76</v>
      </c>
      <c r="V759">
        <f>Q759*R759*(1-S759)</f>
        <v>4285.7550000000001</v>
      </c>
      <c r="W759">
        <v>2386.33</v>
      </c>
      <c r="X759">
        <v>1899.43</v>
      </c>
      <c r="Y759">
        <f>V759-W759</f>
        <v>1899.4250000000002</v>
      </c>
      <c r="Z759" s="12">
        <f>Y759/V759</f>
        <v>0.44319495631458172</v>
      </c>
      <c r="AA759" t="s">
        <v>155</v>
      </c>
      <c r="AB759" t="s">
        <v>68</v>
      </c>
      <c r="AC759" s="14" t="s">
        <v>2794</v>
      </c>
      <c r="AD759" t="s">
        <v>2782</v>
      </c>
      <c r="AE759" t="str">
        <f>PROPER(TRIM(AB759))</f>
        <v>Cancelled</v>
      </c>
      <c r="AS759" t="str">
        <f t="shared" si="13"/>
        <v/>
      </c>
    </row>
    <row r="760" spans="1:45">
      <c r="A760" t="s">
        <v>2349</v>
      </c>
      <c r="B760" s="7">
        <v>45414</v>
      </c>
      <c r="C760" s="4">
        <v>45422</v>
      </c>
      <c r="D760">
        <f>C760-B760</f>
        <v>8</v>
      </c>
      <c r="E760" t="str">
        <f>TEXT(B760,"mmmm")</f>
        <v>May</v>
      </c>
      <c r="F760">
        <f>YEAR(B760)</f>
        <v>2024</v>
      </c>
      <c r="G760" t="s">
        <v>2350</v>
      </c>
      <c r="H760" t="s">
        <v>128</v>
      </c>
      <c r="I760" t="s">
        <v>37</v>
      </c>
      <c r="J760" t="s">
        <v>54</v>
      </c>
      <c r="K760" t="s">
        <v>175</v>
      </c>
      <c r="L760" t="s">
        <v>176</v>
      </c>
      <c r="M760" t="s">
        <v>41</v>
      </c>
      <c r="N760" t="s">
        <v>66</v>
      </c>
      <c r="O760" t="s">
        <v>2351</v>
      </c>
      <c r="P760" t="s">
        <v>59</v>
      </c>
      <c r="Q760">
        <v>1</v>
      </c>
      <c r="R760">
        <v>4166.91</v>
      </c>
      <c r="S760">
        <v>0</v>
      </c>
      <c r="T760" s="12">
        <f>S760</f>
        <v>0</v>
      </c>
      <c r="U760">
        <v>4166.91</v>
      </c>
      <c r="V760">
        <f>Q760*R760*(1-S760)</f>
        <v>4166.91</v>
      </c>
      <c r="W760">
        <v>3412.63</v>
      </c>
      <c r="X760">
        <v>754.28</v>
      </c>
      <c r="Y760">
        <f>V760-W760</f>
        <v>754.27999999999975</v>
      </c>
      <c r="Z760" s="12">
        <f>Y760/V760</f>
        <v>0.18101662862888801</v>
      </c>
      <c r="AA760" t="s">
        <v>32</v>
      </c>
      <c r="AB760" t="s">
        <v>33</v>
      </c>
      <c r="AC760" s="14" t="s">
        <v>2794</v>
      </c>
      <c r="AD760" t="s">
        <v>2782</v>
      </c>
      <c r="AE760" t="str">
        <f>PROPER(TRIM(AB760))</f>
        <v>Completed</v>
      </c>
      <c r="AS760" t="str">
        <f t="shared" si="13"/>
        <v/>
      </c>
    </row>
    <row r="761" spans="1:45">
      <c r="A761" t="s">
        <v>2352</v>
      </c>
      <c r="B761" s="7">
        <v>45492</v>
      </c>
      <c r="C761" s="4">
        <v>45499</v>
      </c>
      <c r="D761">
        <f>C761-B761</f>
        <v>7</v>
      </c>
      <c r="E761" t="str">
        <f>TEXT(B761,"mmmm")</f>
        <v>July</v>
      </c>
      <c r="F761">
        <f>YEAR(B761)</f>
        <v>2024</v>
      </c>
      <c r="G761" t="s">
        <v>2353</v>
      </c>
      <c r="H761" t="s">
        <v>53</v>
      </c>
      <c r="I761" t="s">
        <v>95</v>
      </c>
      <c r="J761" t="s">
        <v>54</v>
      </c>
      <c r="K761" t="s">
        <v>175</v>
      </c>
      <c r="L761" t="s">
        <v>176</v>
      </c>
      <c r="M761" t="s">
        <v>41</v>
      </c>
      <c r="N761" t="s">
        <v>42</v>
      </c>
      <c r="O761" t="s">
        <v>2354</v>
      </c>
      <c r="P761" t="s">
        <v>31</v>
      </c>
      <c r="Q761">
        <v>5</v>
      </c>
      <c r="R761">
        <v>3986.01</v>
      </c>
      <c r="S761">
        <v>0.25</v>
      </c>
      <c r="T761" s="12">
        <f>S761</f>
        <v>0.25</v>
      </c>
      <c r="U761">
        <v>14947.54</v>
      </c>
      <c r="V761">
        <f>Q761*R761*(1-S761)</f>
        <v>14947.537500000002</v>
      </c>
      <c r="W761">
        <v>9438.4599999999991</v>
      </c>
      <c r="X761">
        <v>5509.08</v>
      </c>
      <c r="Y761">
        <f>V761-W761</f>
        <v>5509.0775000000031</v>
      </c>
      <c r="Z761" s="12">
        <f>Y761/V761</f>
        <v>0.36856087499362367</v>
      </c>
      <c r="AA761" t="s">
        <v>32</v>
      </c>
      <c r="AB761" t="s">
        <v>33</v>
      </c>
      <c r="AC761" s="14" t="s">
        <v>2794</v>
      </c>
      <c r="AD761" t="s">
        <v>2782</v>
      </c>
      <c r="AE761" t="str">
        <f>PROPER(TRIM(AB761))</f>
        <v>Completed</v>
      </c>
      <c r="AS761" t="str">
        <f t="shared" si="13"/>
        <v/>
      </c>
    </row>
    <row r="762" spans="1:45">
      <c r="A762" t="s">
        <v>2355</v>
      </c>
      <c r="B762" s="7">
        <v>45532</v>
      </c>
      <c r="C762" s="4">
        <v>45537</v>
      </c>
      <c r="D762">
        <f>C762-B762</f>
        <v>5</v>
      </c>
      <c r="E762" t="str">
        <f>TEXT(B762,"mmmm")</f>
        <v>August</v>
      </c>
      <c r="F762">
        <f>YEAR(B762)</f>
        <v>2024</v>
      </c>
      <c r="G762" t="s">
        <v>2356</v>
      </c>
      <c r="H762" t="s">
        <v>89</v>
      </c>
      <c r="I762" t="s">
        <v>95</v>
      </c>
      <c r="J762" t="s">
        <v>38</v>
      </c>
      <c r="K762" t="s">
        <v>166</v>
      </c>
      <c r="L762" t="s">
        <v>167</v>
      </c>
      <c r="M762" t="s">
        <v>28</v>
      </c>
      <c r="N762" t="s">
        <v>48</v>
      </c>
      <c r="O762" t="s">
        <v>2357</v>
      </c>
      <c r="P762" t="s">
        <v>31</v>
      </c>
      <c r="Q762">
        <v>4</v>
      </c>
      <c r="R762">
        <v>3365.53</v>
      </c>
      <c r="S762">
        <v>0</v>
      </c>
      <c r="T762" s="12">
        <f>S762</f>
        <v>0</v>
      </c>
      <c r="U762">
        <v>13462.12</v>
      </c>
      <c r="V762">
        <f>Q762*R762*(1-S762)</f>
        <v>13462.12</v>
      </c>
      <c r="W762">
        <v>7600.63</v>
      </c>
      <c r="X762">
        <v>5861.49</v>
      </c>
      <c r="Y762">
        <f>V762-W762</f>
        <v>5861.4900000000007</v>
      </c>
      <c r="Z762" s="12">
        <f>Y762/V762</f>
        <v>0.43540616188237813</v>
      </c>
      <c r="AA762" t="s">
        <v>111</v>
      </c>
      <c r="AB762" t="s">
        <v>103</v>
      </c>
      <c r="AC762" s="14" t="s">
        <v>2794</v>
      </c>
      <c r="AD762" t="s">
        <v>2782</v>
      </c>
      <c r="AE762" t="str">
        <f>PROPER(TRIM(AB762))</f>
        <v>Returned</v>
      </c>
      <c r="AS762" t="str">
        <f t="shared" si="13"/>
        <v/>
      </c>
    </row>
    <row r="763" spans="1:45">
      <c r="A763" t="s">
        <v>2358</v>
      </c>
      <c r="B763" s="7">
        <v>45896</v>
      </c>
      <c r="C763" s="4">
        <v>45900</v>
      </c>
      <c r="D763">
        <f>C763-B763</f>
        <v>4</v>
      </c>
      <c r="E763" t="str">
        <f>TEXT(B763,"mmmm")</f>
        <v>August</v>
      </c>
      <c r="F763">
        <f>YEAR(B763)</f>
        <v>2025</v>
      </c>
      <c r="G763" t="s">
        <v>2359</v>
      </c>
      <c r="H763" t="s">
        <v>47</v>
      </c>
      <c r="I763" t="s">
        <v>24</v>
      </c>
      <c r="J763" t="s">
        <v>54</v>
      </c>
      <c r="K763" t="s">
        <v>175</v>
      </c>
      <c r="L763" t="s">
        <v>176</v>
      </c>
      <c r="M763" t="s">
        <v>74</v>
      </c>
      <c r="N763" t="s">
        <v>274</v>
      </c>
      <c r="O763" t="s">
        <v>2360</v>
      </c>
      <c r="P763" t="s">
        <v>50</v>
      </c>
      <c r="Q763">
        <v>3</v>
      </c>
      <c r="R763">
        <v>2489.12</v>
      </c>
      <c r="S763">
        <v>0</v>
      </c>
      <c r="T763" s="12">
        <f>S763</f>
        <v>0</v>
      </c>
      <c r="U763">
        <v>7467.36</v>
      </c>
      <c r="V763">
        <f>Q763*R763*(1-S763)</f>
        <v>7467.36</v>
      </c>
      <c r="W763">
        <v>5010.6099999999997</v>
      </c>
      <c r="X763">
        <v>2456.75</v>
      </c>
      <c r="Y763">
        <f>V763-W763</f>
        <v>2456.75</v>
      </c>
      <c r="Z763" s="12">
        <f>Y763/V763</f>
        <v>0.32899846799940008</v>
      </c>
      <c r="AA763" t="s">
        <v>32</v>
      </c>
      <c r="AB763" t="s">
        <v>33</v>
      </c>
      <c r="AC763" s="14" t="s">
        <v>2794</v>
      </c>
      <c r="AD763" t="s">
        <v>2782</v>
      </c>
      <c r="AE763" t="str">
        <f>PROPER(TRIM(AB763))</f>
        <v>Completed</v>
      </c>
      <c r="AS763" t="str">
        <f t="shared" si="13"/>
        <v/>
      </c>
    </row>
    <row r="764" spans="1:45">
      <c r="A764" t="s">
        <v>2361</v>
      </c>
      <c r="B764" s="7">
        <v>45292</v>
      </c>
      <c r="C764" s="4">
        <v>45296</v>
      </c>
      <c r="D764">
        <f>C764-B764</f>
        <v>4</v>
      </c>
      <c r="E764" t="str">
        <f>TEXT(B764,"mmmm")</f>
        <v>January</v>
      </c>
      <c r="F764">
        <f>YEAR(B764)</f>
        <v>2024</v>
      </c>
      <c r="G764" t="s">
        <v>2362</v>
      </c>
      <c r="H764" t="s">
        <v>162</v>
      </c>
      <c r="I764" t="s">
        <v>90</v>
      </c>
      <c r="J764" t="s">
        <v>63</v>
      </c>
      <c r="K764" t="s">
        <v>72</v>
      </c>
      <c r="L764" t="s">
        <v>73</v>
      </c>
      <c r="M764" t="s">
        <v>74</v>
      </c>
      <c r="N764" t="s">
        <v>274</v>
      </c>
      <c r="O764" t="s">
        <v>2363</v>
      </c>
      <c r="P764" t="s">
        <v>31</v>
      </c>
      <c r="Q764">
        <v>2</v>
      </c>
      <c r="R764">
        <v>3694.12</v>
      </c>
      <c r="S764">
        <v>0.2</v>
      </c>
      <c r="T764" s="12">
        <f>S764</f>
        <v>0.2</v>
      </c>
      <c r="U764">
        <v>5910.59</v>
      </c>
      <c r="V764">
        <f>Q764*R764*(1-S764)</f>
        <v>5910.5920000000006</v>
      </c>
      <c r="W764">
        <v>4775.4399999999996</v>
      </c>
      <c r="X764">
        <v>1135.1500000000001</v>
      </c>
      <c r="Y764">
        <f>V764-W764</f>
        <v>1135.152000000001</v>
      </c>
      <c r="Z764" s="12">
        <f>Y764/V764</f>
        <v>0.19205385856442145</v>
      </c>
      <c r="AA764" t="s">
        <v>102</v>
      </c>
      <c r="AB764" t="s">
        <v>103</v>
      </c>
      <c r="AC764" s="14" t="s">
        <v>2794</v>
      </c>
      <c r="AD764" t="s">
        <v>2782</v>
      </c>
      <c r="AE764" t="str">
        <f>PROPER(TRIM(AB764))</f>
        <v>Returned</v>
      </c>
      <c r="AS764" t="str">
        <f t="shared" si="13"/>
        <v/>
      </c>
    </row>
    <row r="765" spans="1:45">
      <c r="A765" t="s">
        <v>2364</v>
      </c>
      <c r="B765" s="7">
        <v>45892</v>
      </c>
      <c r="C765" s="4">
        <v>45894</v>
      </c>
      <c r="D765">
        <f>C765-B765</f>
        <v>2</v>
      </c>
      <c r="E765" t="str">
        <f>TEXT(B765,"mmmm")</f>
        <v>August</v>
      </c>
      <c r="F765">
        <f>YEAR(B765)</f>
        <v>2025</v>
      </c>
      <c r="G765" t="s">
        <v>2365</v>
      </c>
      <c r="H765" t="s">
        <v>162</v>
      </c>
      <c r="I765" t="s">
        <v>24</v>
      </c>
      <c r="J765" t="s">
        <v>25</v>
      </c>
      <c r="K765" t="s">
        <v>26</v>
      </c>
      <c r="L765" t="s">
        <v>27</v>
      </c>
      <c r="M765" t="s">
        <v>41</v>
      </c>
      <c r="N765" t="s">
        <v>57</v>
      </c>
      <c r="O765" t="s">
        <v>2366</v>
      </c>
      <c r="P765" t="s">
        <v>44</v>
      </c>
      <c r="Q765">
        <v>6</v>
      </c>
      <c r="R765">
        <v>2742.48</v>
      </c>
      <c r="S765">
        <v>0</v>
      </c>
      <c r="T765" s="12">
        <f>S765</f>
        <v>0</v>
      </c>
      <c r="U765">
        <v>16454.88</v>
      </c>
      <c r="V765">
        <f>Q765*R765*(1-S765)</f>
        <v>16454.88</v>
      </c>
      <c r="W765">
        <v>12081.54</v>
      </c>
      <c r="X765">
        <v>4373.34</v>
      </c>
      <c r="Y765">
        <f>V765-W765</f>
        <v>4373.34</v>
      </c>
      <c r="Z765" s="12">
        <f>Y765/V765</f>
        <v>0.26577769026574488</v>
      </c>
      <c r="AA765" t="s">
        <v>32</v>
      </c>
      <c r="AB765" t="s">
        <v>33</v>
      </c>
      <c r="AC765" s="14" t="s">
        <v>2794</v>
      </c>
      <c r="AD765" t="s">
        <v>2782</v>
      </c>
      <c r="AE765" t="str">
        <f>PROPER(TRIM(AB765))</f>
        <v>Completed</v>
      </c>
      <c r="AS765" t="str">
        <f t="shared" si="13"/>
        <v/>
      </c>
    </row>
    <row r="766" spans="1:45">
      <c r="A766" t="s">
        <v>2367</v>
      </c>
      <c r="B766" s="7">
        <v>45760</v>
      </c>
      <c r="C766" s="4">
        <v>45760</v>
      </c>
      <c r="D766">
        <f>C766-B766</f>
        <v>0</v>
      </c>
      <c r="E766" t="str">
        <f>TEXT(B766,"mmmm")</f>
        <v>April</v>
      </c>
      <c r="F766">
        <f>YEAR(B766)</f>
        <v>2025</v>
      </c>
      <c r="G766" t="s">
        <v>884</v>
      </c>
      <c r="H766" t="s">
        <v>114</v>
      </c>
      <c r="I766" t="s">
        <v>90</v>
      </c>
      <c r="J766" t="s">
        <v>54</v>
      </c>
      <c r="K766" t="s">
        <v>185</v>
      </c>
      <c r="L766" t="s">
        <v>186</v>
      </c>
      <c r="M766" t="s">
        <v>41</v>
      </c>
      <c r="N766" t="s">
        <v>158</v>
      </c>
      <c r="O766" t="s">
        <v>2368</v>
      </c>
      <c r="P766" t="s">
        <v>50</v>
      </c>
      <c r="Q766">
        <v>6</v>
      </c>
      <c r="R766">
        <v>4414</v>
      </c>
      <c r="S766">
        <v>0.05</v>
      </c>
      <c r="T766" s="12">
        <f>S766</f>
        <v>0.05</v>
      </c>
      <c r="U766">
        <v>25159.8</v>
      </c>
      <c r="V766">
        <f>Q766*R766*(1-S766)</f>
        <v>25159.8</v>
      </c>
      <c r="W766">
        <v>21606.83</v>
      </c>
      <c r="X766">
        <v>3552.97</v>
      </c>
      <c r="Y766">
        <f>V766-W766</f>
        <v>3552.9699999999975</v>
      </c>
      <c r="Z766" s="12">
        <f>Y766/V766</f>
        <v>0.14121614639226057</v>
      </c>
      <c r="AA766" t="s">
        <v>32</v>
      </c>
      <c r="AB766" t="s">
        <v>33</v>
      </c>
      <c r="AC766" s="14" t="s">
        <v>2794</v>
      </c>
      <c r="AD766" t="s">
        <v>2782</v>
      </c>
      <c r="AE766" t="str">
        <f>PROPER(TRIM(AB766))</f>
        <v>Completed</v>
      </c>
      <c r="AS766" t="str">
        <f t="shared" si="13"/>
        <v/>
      </c>
    </row>
    <row r="767" spans="1:45">
      <c r="A767" t="s">
        <v>2369</v>
      </c>
      <c r="B767" s="7">
        <v>45837</v>
      </c>
      <c r="C767" s="4">
        <v>45841</v>
      </c>
      <c r="D767">
        <f>C767-B767</f>
        <v>4</v>
      </c>
      <c r="E767" t="str">
        <f>TEXT(B767,"mmmm")</f>
        <v>June</v>
      </c>
      <c r="F767">
        <f>YEAR(B767)</f>
        <v>2025</v>
      </c>
      <c r="G767" t="s">
        <v>2370</v>
      </c>
      <c r="H767" t="s">
        <v>71</v>
      </c>
      <c r="I767" t="s">
        <v>90</v>
      </c>
      <c r="J767" t="s">
        <v>38</v>
      </c>
      <c r="K767" t="s">
        <v>228</v>
      </c>
      <c r="L767" t="s">
        <v>229</v>
      </c>
      <c r="M767" t="s">
        <v>28</v>
      </c>
      <c r="N767" t="s">
        <v>91</v>
      </c>
      <c r="O767" t="s">
        <v>2371</v>
      </c>
      <c r="P767" t="s">
        <v>50</v>
      </c>
      <c r="Q767">
        <v>3</v>
      </c>
      <c r="R767">
        <v>608.14</v>
      </c>
      <c r="S767">
        <v>0</v>
      </c>
      <c r="T767" s="12">
        <f>S767</f>
        <v>0</v>
      </c>
      <c r="U767">
        <v>1824.42</v>
      </c>
      <c r="V767">
        <f>Q767*R767*(1-S767)</f>
        <v>1824.42</v>
      </c>
      <c r="W767">
        <v>1214.8699999999999</v>
      </c>
      <c r="X767">
        <v>609.54999999999995</v>
      </c>
      <c r="Y767">
        <f>V767-W767</f>
        <v>609.55000000000018</v>
      </c>
      <c r="Z767" s="12">
        <f>Y767/V767</f>
        <v>0.33410618169061956</v>
      </c>
      <c r="AA767" t="s">
        <v>32</v>
      </c>
      <c r="AB767" t="s">
        <v>33</v>
      </c>
      <c r="AC767" s="14" t="s">
        <v>2794</v>
      </c>
      <c r="AD767" t="s">
        <v>2782</v>
      </c>
      <c r="AE767" t="str">
        <f>PROPER(TRIM(AB767))</f>
        <v>Completed</v>
      </c>
      <c r="AS767" t="str">
        <f t="shared" si="13"/>
        <v/>
      </c>
    </row>
    <row r="768" spans="1:45">
      <c r="A768" t="s">
        <v>2372</v>
      </c>
      <c r="B768" s="7">
        <v>45552</v>
      </c>
      <c r="C768" s="4">
        <v>45559</v>
      </c>
      <c r="D768">
        <f>C768-B768</f>
        <v>7</v>
      </c>
      <c r="E768" t="str">
        <f>TEXT(B768,"mmmm")</f>
        <v>September</v>
      </c>
      <c r="F768">
        <f>YEAR(B768)</f>
        <v>2024</v>
      </c>
      <c r="G768" t="s">
        <v>2373</v>
      </c>
      <c r="H768" t="s">
        <v>36</v>
      </c>
      <c r="I768" t="s">
        <v>90</v>
      </c>
      <c r="J768" t="s">
        <v>63</v>
      </c>
      <c r="K768" t="s">
        <v>180</v>
      </c>
      <c r="L768" t="s">
        <v>181</v>
      </c>
      <c r="M768" t="s">
        <v>28</v>
      </c>
      <c r="N768" t="s">
        <v>48</v>
      </c>
      <c r="O768" t="s">
        <v>2374</v>
      </c>
      <c r="P768" t="s">
        <v>31</v>
      </c>
      <c r="Q768">
        <v>9</v>
      </c>
      <c r="R768">
        <v>2307.96</v>
      </c>
      <c r="S768">
        <v>0.2</v>
      </c>
      <c r="T768" s="12">
        <f>S768</f>
        <v>0.2</v>
      </c>
      <c r="U768">
        <v>16617.310000000001</v>
      </c>
      <c r="V768">
        <f>Q768*R768*(1-S768)</f>
        <v>16617.312000000002</v>
      </c>
      <c r="W768">
        <v>9195.73</v>
      </c>
      <c r="X768">
        <v>7421.58</v>
      </c>
      <c r="Y768">
        <f>V768-W768</f>
        <v>7421.5820000000022</v>
      </c>
      <c r="Z768" s="12">
        <f>Y768/V768</f>
        <v>0.44661747940942564</v>
      </c>
      <c r="AA768" t="s">
        <v>32</v>
      </c>
      <c r="AB768" t="s">
        <v>68</v>
      </c>
      <c r="AC768" s="14" t="s">
        <v>2794</v>
      </c>
      <c r="AD768" t="s">
        <v>2782</v>
      </c>
      <c r="AE768" t="str">
        <f>PROPER(TRIM(AB768))</f>
        <v>Cancelled</v>
      </c>
      <c r="AS768" t="str">
        <f t="shared" si="13"/>
        <v/>
      </c>
    </row>
    <row r="769" spans="1:45">
      <c r="A769" t="s">
        <v>2375</v>
      </c>
      <c r="B769" s="7">
        <v>45415</v>
      </c>
      <c r="C769" s="4">
        <v>45448</v>
      </c>
      <c r="D769">
        <f>C769-B769</f>
        <v>33</v>
      </c>
      <c r="E769" t="str">
        <f>TEXT(B769,"mmmm")</f>
        <v>May</v>
      </c>
      <c r="F769">
        <f>YEAR(B769)</f>
        <v>2024</v>
      </c>
      <c r="G769" t="s">
        <v>2376</v>
      </c>
      <c r="H769" t="s">
        <v>62</v>
      </c>
      <c r="I769" t="s">
        <v>95</v>
      </c>
      <c r="J769" t="s">
        <v>25</v>
      </c>
      <c r="K769" t="s">
        <v>136</v>
      </c>
      <c r="L769" t="s">
        <v>137</v>
      </c>
      <c r="M769" t="s">
        <v>28</v>
      </c>
      <c r="N769" t="s">
        <v>153</v>
      </c>
      <c r="O769" t="s">
        <v>2377</v>
      </c>
      <c r="P769" t="s">
        <v>59</v>
      </c>
      <c r="Q769">
        <v>1</v>
      </c>
      <c r="R769">
        <v>1244.58</v>
      </c>
      <c r="S769">
        <v>0.25</v>
      </c>
      <c r="T769" s="12">
        <f>S769</f>
        <v>0.25</v>
      </c>
      <c r="U769">
        <v>933.43</v>
      </c>
      <c r="V769">
        <f>Q769*R769*(1-S769)</f>
        <v>933.43499999999995</v>
      </c>
      <c r="W769">
        <v>583.09</v>
      </c>
      <c r="X769">
        <v>350.34</v>
      </c>
      <c r="Y769">
        <f>V769-W769</f>
        <v>350.34499999999991</v>
      </c>
      <c r="Z769" s="12">
        <f>Y769/V769</f>
        <v>0.3753287588316272</v>
      </c>
      <c r="AA769" t="s">
        <v>32</v>
      </c>
      <c r="AB769" t="s">
        <v>33</v>
      </c>
      <c r="AC769" s="14" t="s">
        <v>2794</v>
      </c>
      <c r="AD769" t="s">
        <v>2782</v>
      </c>
      <c r="AE769" t="str">
        <f>PROPER(TRIM(AB769))</f>
        <v>Completed</v>
      </c>
      <c r="AS769" t="str">
        <f t="shared" si="13"/>
        <v/>
      </c>
    </row>
    <row r="770" spans="1:45">
      <c r="A770" t="s">
        <v>2378</v>
      </c>
      <c r="B770" s="7">
        <v>45749</v>
      </c>
      <c r="C770" s="4">
        <v>45751</v>
      </c>
      <c r="D770">
        <f>C770-B770</f>
        <v>2</v>
      </c>
      <c r="E770" t="str">
        <f>TEXT(B770,"mmmm")</f>
        <v>April</v>
      </c>
      <c r="F770">
        <f>YEAR(B770)</f>
        <v>2025</v>
      </c>
      <c r="G770" t="s">
        <v>2379</v>
      </c>
      <c r="H770" t="s">
        <v>132</v>
      </c>
      <c r="I770" t="s">
        <v>95</v>
      </c>
      <c r="J770" t="s">
        <v>38</v>
      </c>
      <c r="K770" t="s">
        <v>228</v>
      </c>
      <c r="L770" t="s">
        <v>229</v>
      </c>
      <c r="M770" t="s">
        <v>28</v>
      </c>
      <c r="N770" t="s">
        <v>29</v>
      </c>
      <c r="O770" t="s">
        <v>2380</v>
      </c>
      <c r="P770" t="s">
        <v>44</v>
      </c>
      <c r="Q770">
        <v>5</v>
      </c>
      <c r="R770">
        <v>3234.24</v>
      </c>
      <c r="S770">
        <v>0.1</v>
      </c>
      <c r="T770" s="12">
        <f>S770</f>
        <v>0.1</v>
      </c>
      <c r="U770">
        <v>14554.08</v>
      </c>
      <c r="V770">
        <f>Q770*R770*(1-S770)</f>
        <v>14554.08</v>
      </c>
      <c r="W770">
        <v>11166.84</v>
      </c>
      <c r="X770">
        <v>3387.24</v>
      </c>
      <c r="Y770">
        <f>V770-W770</f>
        <v>3387.24</v>
      </c>
      <c r="Z770" s="12">
        <f>Y770/V770</f>
        <v>0.23273473830018798</v>
      </c>
      <c r="AA770" t="s">
        <v>32</v>
      </c>
      <c r="AB770" t="s">
        <v>33</v>
      </c>
      <c r="AC770" s="14" t="s">
        <v>2794</v>
      </c>
      <c r="AD770" t="s">
        <v>2782</v>
      </c>
      <c r="AE770" t="str">
        <f>PROPER(TRIM(AB770))</f>
        <v>Completed</v>
      </c>
      <c r="AS770" t="str">
        <f t="shared" si="13"/>
        <v/>
      </c>
    </row>
    <row r="771" spans="1:45">
      <c r="A771" t="s">
        <v>2381</v>
      </c>
      <c r="B771" s="7">
        <v>45601</v>
      </c>
      <c r="C771" s="4">
        <v>45425</v>
      </c>
      <c r="D771" s="10">
        <f>C771-B771</f>
        <v>-176</v>
      </c>
      <c r="E771" t="str">
        <f>TEXT(B771,"mmmm")</f>
        <v>November</v>
      </c>
      <c r="F771">
        <f>YEAR(B771)</f>
        <v>2024</v>
      </c>
      <c r="G771" t="s">
        <v>2382</v>
      </c>
      <c r="H771" t="s">
        <v>114</v>
      </c>
      <c r="I771" t="s">
        <v>95</v>
      </c>
      <c r="J771" t="s">
        <v>63</v>
      </c>
      <c r="K771" t="s">
        <v>190</v>
      </c>
      <c r="L771" t="s">
        <v>191</v>
      </c>
      <c r="M771" t="s">
        <v>41</v>
      </c>
      <c r="N771" t="s">
        <v>158</v>
      </c>
      <c r="O771" t="s">
        <v>2383</v>
      </c>
      <c r="P771" t="s">
        <v>44</v>
      </c>
      <c r="Q771">
        <v>3</v>
      </c>
      <c r="R771">
        <v>3612.75</v>
      </c>
      <c r="S771">
        <v>0.25</v>
      </c>
      <c r="T771" s="12">
        <f>S771</f>
        <v>0.25</v>
      </c>
      <c r="U771">
        <v>8128.69</v>
      </c>
      <c r="V771">
        <f>Q771*R771*(1-S771)</f>
        <v>8128.6875</v>
      </c>
      <c r="W771">
        <v>5071.66</v>
      </c>
      <c r="X771">
        <v>3057.03</v>
      </c>
      <c r="Y771">
        <f>V771-W771</f>
        <v>3057.0275000000001</v>
      </c>
      <c r="Z771" s="12">
        <f>Y771/V771</f>
        <v>0.3760788565189645</v>
      </c>
      <c r="AA771" t="s">
        <v>32</v>
      </c>
      <c r="AB771" t="s">
        <v>33</v>
      </c>
      <c r="AC771" s="10" t="s">
        <v>2792</v>
      </c>
      <c r="AD771" t="s">
        <v>2782</v>
      </c>
      <c r="AE771" t="str">
        <f>PROPER(TRIM(AB771))</f>
        <v>Completed</v>
      </c>
      <c r="AS771" t="str">
        <f t="shared" ref="AS771:AS834" si="14">PROPER(TRIM(AD771))</f>
        <v/>
      </c>
    </row>
    <row r="772" spans="1:45">
      <c r="A772" t="s">
        <v>2384</v>
      </c>
      <c r="B772" s="7">
        <v>45337</v>
      </c>
      <c r="C772" s="4">
        <v>45339</v>
      </c>
      <c r="D772">
        <f>C772-B772</f>
        <v>2</v>
      </c>
      <c r="E772" t="str">
        <f>TEXT(B772,"mmmm")</f>
        <v>February</v>
      </c>
      <c r="F772">
        <f>YEAR(B772)</f>
        <v>2024</v>
      </c>
      <c r="G772" t="s">
        <v>2385</v>
      </c>
      <c r="H772" t="s">
        <v>79</v>
      </c>
      <c r="I772" t="s">
        <v>24</v>
      </c>
      <c r="J772" t="s">
        <v>25</v>
      </c>
      <c r="K772" t="s">
        <v>136</v>
      </c>
      <c r="L772" t="s">
        <v>137</v>
      </c>
      <c r="M772" t="s">
        <v>74</v>
      </c>
      <c r="N772" t="s">
        <v>80</v>
      </c>
      <c r="O772" t="s">
        <v>2386</v>
      </c>
      <c r="P772" t="s">
        <v>50</v>
      </c>
      <c r="Q772">
        <v>4</v>
      </c>
      <c r="R772">
        <v>863</v>
      </c>
      <c r="S772">
        <v>0</v>
      </c>
      <c r="T772" s="12">
        <f>S772</f>
        <v>0</v>
      </c>
      <c r="U772">
        <v>3106.8</v>
      </c>
      <c r="V772">
        <f>Q772*R772*(1-S772)</f>
        <v>3452</v>
      </c>
      <c r="W772">
        <v>2376.62</v>
      </c>
      <c r="X772">
        <v>730.18</v>
      </c>
      <c r="Y772">
        <f>V772-W772</f>
        <v>1075.3800000000001</v>
      </c>
      <c r="Z772" s="12">
        <f>Y772/V772</f>
        <v>0.3115237543453071</v>
      </c>
      <c r="AA772" t="s">
        <v>32</v>
      </c>
      <c r="AB772" t="s">
        <v>33</v>
      </c>
      <c r="AC772" s="14" t="s">
        <v>2794</v>
      </c>
      <c r="AD772" t="s">
        <v>2782</v>
      </c>
      <c r="AE772" t="str">
        <f>PROPER(TRIM(AB772))</f>
        <v>Completed</v>
      </c>
      <c r="AS772" t="str">
        <f t="shared" si="14"/>
        <v/>
      </c>
    </row>
    <row r="773" spans="1:45">
      <c r="A773" t="s">
        <v>2387</v>
      </c>
      <c r="B773" s="7">
        <v>45485</v>
      </c>
      <c r="C773" s="4">
        <v>45487</v>
      </c>
      <c r="D773">
        <f>C773-B773</f>
        <v>2</v>
      </c>
      <c r="E773" t="str">
        <f>TEXT(B773,"mmmm")</f>
        <v>July</v>
      </c>
      <c r="F773">
        <f>YEAR(B773)</f>
        <v>2024</v>
      </c>
      <c r="G773" t="s">
        <v>467</v>
      </c>
      <c r="H773" t="s">
        <v>62</v>
      </c>
      <c r="I773" t="s">
        <v>24</v>
      </c>
      <c r="J773" t="s">
        <v>25</v>
      </c>
      <c r="K773" t="s">
        <v>236</v>
      </c>
      <c r="L773" t="s">
        <v>237</v>
      </c>
      <c r="M773" t="s">
        <v>74</v>
      </c>
      <c r="N773" t="s">
        <v>274</v>
      </c>
      <c r="O773" t="s">
        <v>2388</v>
      </c>
      <c r="P773" t="s">
        <v>31</v>
      </c>
      <c r="Q773">
        <v>4</v>
      </c>
      <c r="R773">
        <v>2131.41</v>
      </c>
      <c r="S773">
        <v>0</v>
      </c>
      <c r="T773" s="12">
        <f>S773</f>
        <v>0</v>
      </c>
      <c r="U773">
        <v>6394.23</v>
      </c>
      <c r="V773">
        <f>Q773*R773*(1-S773)</f>
        <v>8525.64</v>
      </c>
      <c r="W773">
        <v>3520.69</v>
      </c>
      <c r="X773">
        <v>2873.54</v>
      </c>
      <c r="Y773">
        <f>V773-W773</f>
        <v>5004.9499999999989</v>
      </c>
      <c r="Z773" s="12">
        <f>Y773/V773</f>
        <v>0.58704683753946907</v>
      </c>
      <c r="AA773" t="s">
        <v>32</v>
      </c>
      <c r="AB773" t="s">
        <v>33</v>
      </c>
      <c r="AC773" s="14" t="s">
        <v>2794</v>
      </c>
      <c r="AD773" t="s">
        <v>2782</v>
      </c>
      <c r="AE773" t="str">
        <f>PROPER(TRIM(AB773))</f>
        <v>Completed</v>
      </c>
      <c r="AS773" t="str">
        <f t="shared" si="14"/>
        <v/>
      </c>
    </row>
    <row r="774" spans="1:45">
      <c r="A774" t="s">
        <v>2389</v>
      </c>
      <c r="B774" s="7">
        <v>45853</v>
      </c>
      <c r="C774" s="4">
        <v>45857</v>
      </c>
      <c r="D774">
        <f>C774-B774</f>
        <v>4</v>
      </c>
      <c r="E774" t="str">
        <f>TEXT(B774,"mmmm")</f>
        <v>July</v>
      </c>
      <c r="F774">
        <f>YEAR(B774)</f>
        <v>2025</v>
      </c>
      <c r="G774" t="s">
        <v>2390</v>
      </c>
      <c r="H774" t="s">
        <v>162</v>
      </c>
      <c r="I774" t="s">
        <v>24</v>
      </c>
      <c r="J774" t="s">
        <v>54</v>
      </c>
      <c r="K774" t="s">
        <v>247</v>
      </c>
      <c r="L774" t="s">
        <v>248</v>
      </c>
      <c r="M774" t="s">
        <v>41</v>
      </c>
      <c r="N774" t="s">
        <v>66</v>
      </c>
      <c r="O774" t="s">
        <v>2391</v>
      </c>
      <c r="P774" t="s">
        <v>44</v>
      </c>
      <c r="Q774">
        <v>1</v>
      </c>
      <c r="R774">
        <v>3903.22</v>
      </c>
      <c r="S774">
        <v>0.05</v>
      </c>
      <c r="T774" s="12">
        <f>S774</f>
        <v>0.05</v>
      </c>
      <c r="U774">
        <v>3708.06</v>
      </c>
      <c r="V774">
        <f>Q774*R774*(1-S774)</f>
        <v>3708.0589999999997</v>
      </c>
      <c r="W774">
        <v>2760.29</v>
      </c>
      <c r="X774">
        <v>947.77</v>
      </c>
      <c r="Y774">
        <f>V774-W774</f>
        <v>947.76899999999978</v>
      </c>
      <c r="Z774" s="12">
        <f>Y774/V774</f>
        <v>0.25559706574248142</v>
      </c>
      <c r="AA774" t="s">
        <v>111</v>
      </c>
      <c r="AB774" t="s">
        <v>68</v>
      </c>
      <c r="AC774" s="14" t="s">
        <v>2794</v>
      </c>
      <c r="AD774" t="s">
        <v>2782</v>
      </c>
      <c r="AE774" t="str">
        <f>PROPER(TRIM(AB774))</f>
        <v>Cancelled</v>
      </c>
      <c r="AS774" t="str">
        <f t="shared" si="14"/>
        <v/>
      </c>
    </row>
    <row r="775" spans="1:45">
      <c r="A775" t="s">
        <v>2392</v>
      </c>
      <c r="B775" s="7">
        <v>45709</v>
      </c>
      <c r="C775" s="4">
        <v>45709</v>
      </c>
      <c r="D775">
        <f>C775-B775</f>
        <v>0</v>
      </c>
      <c r="E775" t="str">
        <f>TEXT(B775,"mmmm")</f>
        <v>February</v>
      </c>
      <c r="F775">
        <f>YEAR(B775)</f>
        <v>2025</v>
      </c>
      <c r="G775" t="s">
        <v>2393</v>
      </c>
      <c r="H775" t="s">
        <v>23</v>
      </c>
      <c r="I775" t="s">
        <v>95</v>
      </c>
      <c r="J775" t="s">
        <v>63</v>
      </c>
      <c r="K775" t="s">
        <v>180</v>
      </c>
      <c r="L775" t="s">
        <v>181</v>
      </c>
      <c r="M775" t="s">
        <v>74</v>
      </c>
      <c r="N775" t="s">
        <v>171</v>
      </c>
      <c r="O775" t="s">
        <v>2394</v>
      </c>
      <c r="P775" t="s">
        <v>2783</v>
      </c>
      <c r="Q775">
        <v>4</v>
      </c>
      <c r="R775">
        <v>2945.07</v>
      </c>
      <c r="S775">
        <v>0.2</v>
      </c>
      <c r="T775" s="12">
        <f>S775</f>
        <v>0.2</v>
      </c>
      <c r="U775">
        <v>9424.2199999999993</v>
      </c>
      <c r="V775">
        <f>Q775*R775*(1-S775)</f>
        <v>9424.2240000000002</v>
      </c>
      <c r="W775">
        <v>6178.92</v>
      </c>
      <c r="X775">
        <v>3245.3</v>
      </c>
      <c r="Y775">
        <f>V775-W775</f>
        <v>3245.3040000000001</v>
      </c>
      <c r="Z775" s="12">
        <f>Y775/V775</f>
        <v>0.3443576892909167</v>
      </c>
      <c r="AA775" t="s">
        <v>32</v>
      </c>
      <c r="AB775" t="s">
        <v>33</v>
      </c>
      <c r="AC775" s="10" t="s">
        <v>2795</v>
      </c>
      <c r="AD775" t="s">
        <v>2782</v>
      </c>
      <c r="AE775" t="str">
        <f>PROPER(TRIM(AB775))</f>
        <v>Completed</v>
      </c>
      <c r="AS775" t="str">
        <f t="shared" si="14"/>
        <v/>
      </c>
    </row>
    <row r="776" spans="1:45">
      <c r="A776" t="s">
        <v>2395</v>
      </c>
      <c r="B776" s="7">
        <v>45876</v>
      </c>
      <c r="C776" s="4">
        <v>45876</v>
      </c>
      <c r="D776">
        <f>C776-B776</f>
        <v>0</v>
      </c>
      <c r="E776" t="str">
        <f>TEXT(B776,"mmmm")</f>
        <v>August</v>
      </c>
      <c r="F776">
        <f>YEAR(B776)</f>
        <v>2025</v>
      </c>
      <c r="G776" t="s">
        <v>2396</v>
      </c>
      <c r="H776" t="s">
        <v>264</v>
      </c>
      <c r="I776" t="s">
        <v>24</v>
      </c>
      <c r="J776" t="s">
        <v>63</v>
      </c>
      <c r="K776" t="s">
        <v>26</v>
      </c>
      <c r="L776" t="s">
        <v>109</v>
      </c>
      <c r="M776" t="s">
        <v>74</v>
      </c>
      <c r="N776" t="s">
        <v>274</v>
      </c>
      <c r="O776" t="s">
        <v>2397</v>
      </c>
      <c r="P776" t="s">
        <v>2783</v>
      </c>
      <c r="Q776">
        <v>9</v>
      </c>
      <c r="R776">
        <v>1076.75</v>
      </c>
      <c r="S776">
        <v>0.2</v>
      </c>
      <c r="T776" s="12">
        <f>S776</f>
        <v>0.2</v>
      </c>
      <c r="U776">
        <v>7752.6</v>
      </c>
      <c r="V776">
        <f>Q776*R776*(1-S776)</f>
        <v>7752.6</v>
      </c>
      <c r="W776">
        <v>4689.3</v>
      </c>
      <c r="X776">
        <v>3063.3</v>
      </c>
      <c r="Y776">
        <f>V776-W776</f>
        <v>3063.3</v>
      </c>
      <c r="Z776" s="12">
        <f>Y776/V776</f>
        <v>0.39513195573098059</v>
      </c>
      <c r="AA776" t="s">
        <v>32</v>
      </c>
      <c r="AB776" t="s">
        <v>33</v>
      </c>
      <c r="AC776" s="10" t="s">
        <v>2795</v>
      </c>
      <c r="AD776" t="s">
        <v>2782</v>
      </c>
      <c r="AE776" t="str">
        <f>PROPER(TRIM(AB776))</f>
        <v>Completed</v>
      </c>
      <c r="AS776" t="str">
        <f t="shared" si="14"/>
        <v/>
      </c>
    </row>
    <row r="777" spans="1:45">
      <c r="A777" t="s">
        <v>2398</v>
      </c>
      <c r="B777" s="7">
        <v>45396</v>
      </c>
      <c r="C777" s="4">
        <v>45404</v>
      </c>
      <c r="D777">
        <f>C777-B777</f>
        <v>8</v>
      </c>
      <c r="E777" t="str">
        <f>TEXT(B777,"mmmm")</f>
        <v>April</v>
      </c>
      <c r="F777">
        <f>YEAR(B777)</f>
        <v>2024</v>
      </c>
      <c r="G777" t="s">
        <v>2399</v>
      </c>
      <c r="H777" t="s">
        <v>53</v>
      </c>
      <c r="I777" t="s">
        <v>24</v>
      </c>
      <c r="J777" t="s">
        <v>25</v>
      </c>
      <c r="K777" t="s">
        <v>236</v>
      </c>
      <c r="L777" t="s">
        <v>237</v>
      </c>
      <c r="M777" t="s">
        <v>74</v>
      </c>
      <c r="N777" t="s">
        <v>75</v>
      </c>
      <c r="O777" t="s">
        <v>2400</v>
      </c>
      <c r="P777" t="s">
        <v>59</v>
      </c>
      <c r="Q777">
        <v>8</v>
      </c>
      <c r="R777">
        <v>3956.12</v>
      </c>
      <c r="S777">
        <v>0.25</v>
      </c>
      <c r="T777" s="12">
        <f>S777</f>
        <v>0.25</v>
      </c>
      <c r="U777">
        <v>23736.720000000001</v>
      </c>
      <c r="V777">
        <f>Q777*R777*(1-S777)</f>
        <v>23736.720000000001</v>
      </c>
      <c r="W777">
        <v>13890.9</v>
      </c>
      <c r="X777">
        <v>9845.82</v>
      </c>
      <c r="Y777">
        <f>V777-W777</f>
        <v>9845.8200000000015</v>
      </c>
      <c r="Z777" s="12">
        <f>Y777/V777</f>
        <v>0.41479277676106896</v>
      </c>
      <c r="AA777" t="s">
        <v>32</v>
      </c>
      <c r="AB777" t="s">
        <v>33</v>
      </c>
      <c r="AC777" s="14" t="s">
        <v>2794</v>
      </c>
      <c r="AD777" t="s">
        <v>2782</v>
      </c>
      <c r="AE777" t="str">
        <f>PROPER(TRIM(AB777))</f>
        <v>Completed</v>
      </c>
      <c r="AS777" t="str">
        <f t="shared" si="14"/>
        <v/>
      </c>
    </row>
    <row r="778" spans="1:45">
      <c r="A778" t="s">
        <v>2401</v>
      </c>
      <c r="B778" s="7">
        <v>45816</v>
      </c>
      <c r="C778" s="4">
        <v>45821</v>
      </c>
      <c r="D778">
        <f>C778-B778</f>
        <v>5</v>
      </c>
      <c r="E778" t="str">
        <f>TEXT(B778,"mmmm")</f>
        <v>June</v>
      </c>
      <c r="F778">
        <f>YEAR(B778)</f>
        <v>2025</v>
      </c>
      <c r="G778" t="s">
        <v>2402</v>
      </c>
      <c r="H778" t="s">
        <v>89</v>
      </c>
      <c r="I778" t="s">
        <v>37</v>
      </c>
      <c r="J778" t="s">
        <v>25</v>
      </c>
      <c r="K778" t="s">
        <v>26</v>
      </c>
      <c r="L778" t="s">
        <v>27</v>
      </c>
      <c r="M778" t="s">
        <v>74</v>
      </c>
      <c r="N778" t="s">
        <v>80</v>
      </c>
      <c r="O778" t="s">
        <v>2403</v>
      </c>
      <c r="P778" t="s">
        <v>31</v>
      </c>
      <c r="Q778">
        <v>7</v>
      </c>
      <c r="R778">
        <v>3857.13</v>
      </c>
      <c r="S778">
        <v>0</v>
      </c>
      <c r="T778" s="12">
        <f>S778</f>
        <v>0</v>
      </c>
      <c r="U778">
        <v>26999.91</v>
      </c>
      <c r="V778">
        <f>Q778*R778*(1-S778)</f>
        <v>26999.91</v>
      </c>
      <c r="W778">
        <v>17815.98</v>
      </c>
      <c r="X778">
        <v>9183.93</v>
      </c>
      <c r="Y778">
        <f>V778-W778</f>
        <v>9183.93</v>
      </c>
      <c r="Z778" s="12">
        <f>Y778/V778</f>
        <v>0.34014668937785347</v>
      </c>
      <c r="AA778" t="s">
        <v>32</v>
      </c>
      <c r="AB778" t="s">
        <v>33</v>
      </c>
      <c r="AC778" s="14" t="s">
        <v>2794</v>
      </c>
      <c r="AD778" t="s">
        <v>2782</v>
      </c>
      <c r="AE778" t="str">
        <f>PROPER(TRIM(AB778))</f>
        <v>Completed</v>
      </c>
      <c r="AS778" t="str">
        <f t="shared" si="14"/>
        <v/>
      </c>
    </row>
    <row r="779" spans="1:45">
      <c r="A779" t="s">
        <v>2404</v>
      </c>
      <c r="B779" s="7">
        <v>45326</v>
      </c>
      <c r="C779" s="4">
        <v>45328</v>
      </c>
      <c r="D779">
        <f>C779-B779</f>
        <v>2</v>
      </c>
      <c r="E779" t="str">
        <f>TEXT(B779,"mmmm")</f>
        <v>February</v>
      </c>
      <c r="F779">
        <f>YEAR(B779)</f>
        <v>2024</v>
      </c>
      <c r="G779" t="s">
        <v>2405</v>
      </c>
      <c r="H779" t="s">
        <v>264</v>
      </c>
      <c r="I779" t="s">
        <v>37</v>
      </c>
      <c r="J779" t="s">
        <v>63</v>
      </c>
      <c r="K779" t="s">
        <v>72</v>
      </c>
      <c r="L779" t="s">
        <v>73</v>
      </c>
      <c r="M779" t="s">
        <v>74</v>
      </c>
      <c r="N779" t="s">
        <v>75</v>
      </c>
      <c r="O779" t="s">
        <v>2406</v>
      </c>
      <c r="P779" t="s">
        <v>31</v>
      </c>
      <c r="Q779">
        <v>4</v>
      </c>
      <c r="R779">
        <v>1489.74</v>
      </c>
      <c r="S779">
        <v>0.15</v>
      </c>
      <c r="T779" s="12">
        <f>S779</f>
        <v>0.15</v>
      </c>
      <c r="U779">
        <v>5065.12</v>
      </c>
      <c r="V779">
        <f>Q779*R779*(1-S779)</f>
        <v>5065.116</v>
      </c>
      <c r="W779">
        <v>3530.12</v>
      </c>
      <c r="X779">
        <v>1535</v>
      </c>
      <c r="Y779">
        <f>V779-W779</f>
        <v>1534.9960000000001</v>
      </c>
      <c r="Z779" s="12">
        <f>Y779/V779</f>
        <v>0.30305248685321323</v>
      </c>
      <c r="AA779" t="s">
        <v>155</v>
      </c>
      <c r="AB779" t="s">
        <v>68</v>
      </c>
      <c r="AC779" s="14" t="s">
        <v>2794</v>
      </c>
      <c r="AD779" t="s">
        <v>2782</v>
      </c>
      <c r="AE779" t="str">
        <f>PROPER(TRIM(AB779))</f>
        <v>Cancelled</v>
      </c>
      <c r="AS779" t="str">
        <f t="shared" si="14"/>
        <v/>
      </c>
    </row>
    <row r="780" spans="1:45">
      <c r="A780" t="s">
        <v>2407</v>
      </c>
      <c r="B780" s="7">
        <v>45497</v>
      </c>
      <c r="C780" s="4">
        <v>45497</v>
      </c>
      <c r="D780">
        <f>C780-B780</f>
        <v>0</v>
      </c>
      <c r="E780" t="str">
        <f>TEXT(B780,"mmmm")</f>
        <v>July</v>
      </c>
      <c r="F780">
        <f>YEAR(B780)</f>
        <v>2024</v>
      </c>
      <c r="G780" t="s">
        <v>2408</v>
      </c>
      <c r="H780" t="s">
        <v>23</v>
      </c>
      <c r="I780" t="s">
        <v>37</v>
      </c>
      <c r="J780" t="s">
        <v>25</v>
      </c>
      <c r="K780" t="s">
        <v>236</v>
      </c>
      <c r="L780" t="s">
        <v>237</v>
      </c>
      <c r="M780" t="s">
        <v>74</v>
      </c>
      <c r="N780" t="s">
        <v>80</v>
      </c>
      <c r="O780" t="s">
        <v>2409</v>
      </c>
      <c r="P780" t="s">
        <v>31</v>
      </c>
      <c r="Q780">
        <v>4</v>
      </c>
      <c r="R780">
        <v>1676.88</v>
      </c>
      <c r="S780">
        <v>0</v>
      </c>
      <c r="T780" s="12">
        <f>S780</f>
        <v>0</v>
      </c>
      <c r="U780">
        <v>6707.52</v>
      </c>
      <c r="V780">
        <f>Q780*R780*(1-S780)</f>
        <v>6707.52</v>
      </c>
      <c r="W780">
        <v>5672.57</v>
      </c>
      <c r="X780">
        <v>1034.95</v>
      </c>
      <c r="Y780">
        <f>V780-W780</f>
        <v>1034.9500000000007</v>
      </c>
      <c r="Z780" s="12">
        <f>Y780/V780</f>
        <v>0.15429696817899918</v>
      </c>
      <c r="AA780" t="s">
        <v>32</v>
      </c>
      <c r="AB780" t="s">
        <v>33</v>
      </c>
      <c r="AC780" s="14" t="s">
        <v>2794</v>
      </c>
      <c r="AD780" t="s">
        <v>2782</v>
      </c>
      <c r="AE780" t="str">
        <f>PROPER(TRIM(AB780))</f>
        <v>Completed</v>
      </c>
      <c r="AS780" t="str">
        <f t="shared" si="14"/>
        <v/>
      </c>
    </row>
    <row r="781" spans="1:45">
      <c r="A781" t="s">
        <v>2410</v>
      </c>
      <c r="B781" s="7">
        <v>45306</v>
      </c>
      <c r="C781" s="4">
        <v>45311</v>
      </c>
      <c r="D781">
        <f>C781-B781</f>
        <v>5</v>
      </c>
      <c r="E781" t="str">
        <f>TEXT(B781,"mmmm")</f>
        <v>January</v>
      </c>
      <c r="F781">
        <f>YEAR(B781)</f>
        <v>2024</v>
      </c>
      <c r="G781" t="s">
        <v>2411</v>
      </c>
      <c r="H781" t="s">
        <v>114</v>
      </c>
      <c r="I781" t="s">
        <v>37</v>
      </c>
      <c r="J781" t="s">
        <v>54</v>
      </c>
      <c r="K781" t="s">
        <v>84</v>
      </c>
      <c r="L781" t="s">
        <v>85</v>
      </c>
      <c r="M781" t="s">
        <v>41</v>
      </c>
      <c r="N781" t="s">
        <v>66</v>
      </c>
      <c r="O781" t="s">
        <v>2412</v>
      </c>
      <c r="P781" t="s">
        <v>59</v>
      </c>
      <c r="Q781">
        <v>4</v>
      </c>
      <c r="R781">
        <v>3153.54</v>
      </c>
      <c r="S781">
        <v>0.05</v>
      </c>
      <c r="T781" s="12">
        <f>S781</f>
        <v>0.05</v>
      </c>
      <c r="U781">
        <v>11983.45</v>
      </c>
      <c r="V781">
        <f>Q781*R781*(1-S781)</f>
        <v>11983.451999999999</v>
      </c>
      <c r="W781">
        <v>8572.9</v>
      </c>
      <c r="X781">
        <v>3410.55</v>
      </c>
      <c r="Y781">
        <f>V781-W781</f>
        <v>3410.5519999999997</v>
      </c>
      <c r="Z781" s="12">
        <f>Y781/V781</f>
        <v>0.2846051371507976</v>
      </c>
      <c r="AA781" t="s">
        <v>32</v>
      </c>
      <c r="AB781" t="s">
        <v>33</v>
      </c>
      <c r="AC781" s="14" t="s">
        <v>2794</v>
      </c>
      <c r="AD781" t="s">
        <v>2782</v>
      </c>
      <c r="AE781" t="str">
        <f>PROPER(TRIM(AB781))</f>
        <v>Completed</v>
      </c>
      <c r="AS781" t="str">
        <f t="shared" si="14"/>
        <v/>
      </c>
    </row>
    <row r="782" spans="1:45">
      <c r="A782" t="s">
        <v>2413</v>
      </c>
      <c r="B782" s="7">
        <v>45508</v>
      </c>
      <c r="C782" s="4">
        <v>45573</v>
      </c>
      <c r="D782">
        <f>C782-B782</f>
        <v>65</v>
      </c>
      <c r="E782" t="str">
        <f>TEXT(B782,"mmmm")</f>
        <v>August</v>
      </c>
      <c r="F782">
        <f>YEAR(B782)</f>
        <v>2024</v>
      </c>
      <c r="G782" t="s">
        <v>2414</v>
      </c>
      <c r="H782" t="s">
        <v>162</v>
      </c>
      <c r="I782" t="s">
        <v>37</v>
      </c>
      <c r="J782" t="s">
        <v>63</v>
      </c>
      <c r="K782" t="s">
        <v>26</v>
      </c>
      <c r="L782" t="s">
        <v>109</v>
      </c>
      <c r="M782" t="s">
        <v>41</v>
      </c>
      <c r="N782" t="s">
        <v>66</v>
      </c>
      <c r="O782" t="s">
        <v>2415</v>
      </c>
      <c r="P782" t="s">
        <v>44</v>
      </c>
      <c r="Q782">
        <v>4</v>
      </c>
      <c r="R782">
        <v>426.43</v>
      </c>
      <c r="S782">
        <v>0.2</v>
      </c>
      <c r="T782" s="12">
        <f>S782</f>
        <v>0.2</v>
      </c>
      <c r="U782">
        <v>1364.58</v>
      </c>
      <c r="V782">
        <f>Q782*R782*(1-S782)</f>
        <v>1364.576</v>
      </c>
      <c r="W782">
        <v>978.16</v>
      </c>
      <c r="X782">
        <v>386.42</v>
      </c>
      <c r="Y782">
        <f>V782-W782</f>
        <v>386.41600000000005</v>
      </c>
      <c r="Z782" s="12">
        <f>Y782/V782</f>
        <v>0.28317660577351506</v>
      </c>
      <c r="AA782" t="s">
        <v>32</v>
      </c>
      <c r="AB782" t="s">
        <v>33</v>
      </c>
      <c r="AC782" s="14" t="s">
        <v>2794</v>
      </c>
      <c r="AD782" t="s">
        <v>2782</v>
      </c>
      <c r="AE782" t="str">
        <f>PROPER(TRIM(AB782))</f>
        <v>Completed</v>
      </c>
      <c r="AS782" t="str">
        <f t="shared" si="14"/>
        <v/>
      </c>
    </row>
    <row r="783" spans="1:45">
      <c r="A783" t="s">
        <v>2416</v>
      </c>
      <c r="B783" s="7">
        <v>45324</v>
      </c>
      <c r="C783" s="4">
        <v>45332</v>
      </c>
      <c r="D783">
        <f>C783-B783</f>
        <v>8</v>
      </c>
      <c r="E783" t="str">
        <f>TEXT(B783,"mmmm")</f>
        <v>February</v>
      </c>
      <c r="F783">
        <f>YEAR(B783)</f>
        <v>2024</v>
      </c>
      <c r="G783" t="s">
        <v>2417</v>
      </c>
      <c r="H783" t="s">
        <v>23</v>
      </c>
      <c r="I783" t="s">
        <v>95</v>
      </c>
      <c r="J783" t="s">
        <v>63</v>
      </c>
      <c r="K783" t="s">
        <v>26</v>
      </c>
      <c r="L783" t="s">
        <v>109</v>
      </c>
      <c r="M783" t="s">
        <v>28</v>
      </c>
      <c r="N783" t="s">
        <v>91</v>
      </c>
      <c r="O783" t="s">
        <v>2418</v>
      </c>
      <c r="P783" t="s">
        <v>50</v>
      </c>
      <c r="Q783">
        <v>3</v>
      </c>
      <c r="R783">
        <v>383.4</v>
      </c>
      <c r="S783">
        <v>0.25</v>
      </c>
      <c r="T783" s="12">
        <f>S783</f>
        <v>0.25</v>
      </c>
      <c r="U783">
        <v>862.65</v>
      </c>
      <c r="V783">
        <f>Q783*R783*(1-S783)</f>
        <v>862.64999999999986</v>
      </c>
      <c r="W783">
        <v>603.73</v>
      </c>
      <c r="X783">
        <v>258.92</v>
      </c>
      <c r="Y783">
        <f>V783-W783</f>
        <v>258.91999999999985</v>
      </c>
      <c r="Z783" s="12">
        <f>Y783/V783</f>
        <v>0.30014490233582553</v>
      </c>
      <c r="AA783" t="s">
        <v>111</v>
      </c>
      <c r="AB783" t="s">
        <v>103</v>
      </c>
      <c r="AC783" s="14" t="s">
        <v>2794</v>
      </c>
      <c r="AD783" t="s">
        <v>2782</v>
      </c>
      <c r="AE783" t="str">
        <f>PROPER(TRIM(AB783))</f>
        <v>Returned</v>
      </c>
      <c r="AS783" t="str">
        <f t="shared" si="14"/>
        <v/>
      </c>
    </row>
    <row r="784" spans="1:45">
      <c r="A784" t="s">
        <v>2419</v>
      </c>
      <c r="B784" s="7">
        <v>45730</v>
      </c>
      <c r="C784" s="4">
        <v>45738</v>
      </c>
      <c r="D784">
        <f>C784-B784</f>
        <v>8</v>
      </c>
      <c r="E784" t="str">
        <f>TEXT(B784,"mmmm")</f>
        <v>March</v>
      </c>
      <c r="F784">
        <f>YEAR(B784)</f>
        <v>2025</v>
      </c>
      <c r="G784" t="s">
        <v>2420</v>
      </c>
      <c r="H784" t="s">
        <v>36</v>
      </c>
      <c r="I784" t="s">
        <v>90</v>
      </c>
      <c r="J784" t="s">
        <v>38</v>
      </c>
      <c r="K784" t="s">
        <v>99</v>
      </c>
      <c r="L784" t="s">
        <v>100</v>
      </c>
      <c r="M784" t="s">
        <v>74</v>
      </c>
      <c r="N784" t="s">
        <v>80</v>
      </c>
      <c r="O784" t="s">
        <v>2421</v>
      </c>
      <c r="P784" t="s">
        <v>59</v>
      </c>
      <c r="Q784">
        <v>2</v>
      </c>
      <c r="R784">
        <v>669.63</v>
      </c>
      <c r="S784">
        <v>0.15</v>
      </c>
      <c r="T784" s="12">
        <f>S784</f>
        <v>0.15</v>
      </c>
      <c r="U784">
        <v>1138.3699999999999</v>
      </c>
      <c r="V784">
        <f>Q784*R784*(1-S784)</f>
        <v>1138.3709999999999</v>
      </c>
      <c r="W784">
        <v>797.34</v>
      </c>
      <c r="X784">
        <v>341.03</v>
      </c>
      <c r="Y784">
        <f>V784-W784</f>
        <v>341.03099999999984</v>
      </c>
      <c r="Z784" s="12">
        <f>Y784/V784</f>
        <v>0.29957808131092578</v>
      </c>
      <c r="AA784" t="s">
        <v>32</v>
      </c>
      <c r="AB784" t="s">
        <v>33</v>
      </c>
      <c r="AC784" s="14" t="s">
        <v>2794</v>
      </c>
      <c r="AD784" t="s">
        <v>2782</v>
      </c>
      <c r="AE784" t="str">
        <f>PROPER(TRIM(AB784))</f>
        <v>Completed</v>
      </c>
      <c r="AS784" t="str">
        <f t="shared" si="14"/>
        <v/>
      </c>
    </row>
    <row r="785" spans="1:45">
      <c r="A785" t="s">
        <v>2422</v>
      </c>
      <c r="B785" s="7">
        <v>45450</v>
      </c>
      <c r="C785" s="4">
        <v>45450</v>
      </c>
      <c r="D785">
        <f>C785-B785</f>
        <v>0</v>
      </c>
      <c r="E785" t="str">
        <f>TEXT(B785,"mmmm")</f>
        <v>June</v>
      </c>
      <c r="F785">
        <f>YEAR(B785)</f>
        <v>2024</v>
      </c>
      <c r="G785" t="s">
        <v>2423</v>
      </c>
      <c r="H785" t="s">
        <v>128</v>
      </c>
      <c r="I785" t="s">
        <v>37</v>
      </c>
      <c r="J785" t="s">
        <v>38</v>
      </c>
      <c r="K785" t="s">
        <v>145</v>
      </c>
      <c r="L785" t="s">
        <v>146</v>
      </c>
      <c r="M785" t="s">
        <v>28</v>
      </c>
      <c r="N785" t="s">
        <v>48</v>
      </c>
      <c r="O785" t="s">
        <v>2424</v>
      </c>
      <c r="P785" t="s">
        <v>31</v>
      </c>
      <c r="Q785">
        <v>1</v>
      </c>
      <c r="R785">
        <v>2581.9299999999998</v>
      </c>
      <c r="S785">
        <v>0.05</v>
      </c>
      <c r="T785" s="12">
        <f>S785</f>
        <v>0.05</v>
      </c>
      <c r="U785">
        <v>2452.83</v>
      </c>
      <c r="V785">
        <f>Q785*R785*(1-S785)</f>
        <v>2452.8334999999997</v>
      </c>
      <c r="W785">
        <v>1906.7</v>
      </c>
      <c r="X785">
        <v>546.13</v>
      </c>
      <c r="Y785">
        <f>V785-W785</f>
        <v>546.13349999999969</v>
      </c>
      <c r="Z785" s="12">
        <f>Y785/V785</f>
        <v>0.22265412634000625</v>
      </c>
      <c r="AA785" t="s">
        <v>32</v>
      </c>
      <c r="AB785" t="s">
        <v>33</v>
      </c>
      <c r="AC785" s="14" t="s">
        <v>2794</v>
      </c>
      <c r="AD785" t="s">
        <v>2782</v>
      </c>
      <c r="AE785" t="str">
        <f>PROPER(TRIM(AB785))</f>
        <v>Completed</v>
      </c>
      <c r="AS785" t="str">
        <f t="shared" si="14"/>
        <v/>
      </c>
    </row>
    <row r="786" spans="1:45">
      <c r="A786" t="s">
        <v>2425</v>
      </c>
      <c r="B786" s="7">
        <v>45757</v>
      </c>
      <c r="C786" s="4">
        <v>45935</v>
      </c>
      <c r="D786">
        <f>C786-B786</f>
        <v>178</v>
      </c>
      <c r="E786" t="str">
        <f>TEXT(B786,"mmmm")</f>
        <v>April</v>
      </c>
      <c r="F786">
        <f>YEAR(B786)</f>
        <v>2025</v>
      </c>
      <c r="G786" t="s">
        <v>2426</v>
      </c>
      <c r="H786" t="s">
        <v>114</v>
      </c>
      <c r="I786" t="s">
        <v>90</v>
      </c>
      <c r="J786" t="s">
        <v>25</v>
      </c>
      <c r="K786" t="s">
        <v>122</v>
      </c>
      <c r="L786" t="s">
        <v>123</v>
      </c>
      <c r="M786" t="s">
        <v>74</v>
      </c>
      <c r="N786" t="s">
        <v>80</v>
      </c>
      <c r="O786" t="s">
        <v>2427</v>
      </c>
      <c r="P786" t="s">
        <v>50</v>
      </c>
      <c r="Q786">
        <v>4</v>
      </c>
      <c r="R786">
        <v>418.18</v>
      </c>
      <c r="S786">
        <v>0.05</v>
      </c>
      <c r="T786" s="12">
        <f>S786</f>
        <v>0.05</v>
      </c>
      <c r="U786">
        <v>1589.08</v>
      </c>
      <c r="V786">
        <f>Q786*R786*(1-S786)</f>
        <v>1589.0840000000001</v>
      </c>
      <c r="W786">
        <v>1084.6600000000001</v>
      </c>
      <c r="X786">
        <v>504.42</v>
      </c>
      <c r="Y786">
        <f>V786-W786</f>
        <v>504.42399999999998</v>
      </c>
      <c r="Z786" s="12">
        <f>Y786/V786</f>
        <v>0.31743067075120002</v>
      </c>
      <c r="AA786" t="s">
        <v>32</v>
      </c>
      <c r="AB786" t="s">
        <v>33</v>
      </c>
      <c r="AC786" s="14" t="s">
        <v>2794</v>
      </c>
      <c r="AD786" t="s">
        <v>2782</v>
      </c>
      <c r="AE786" t="str">
        <f>PROPER(TRIM(AB786))</f>
        <v>Completed</v>
      </c>
      <c r="AS786" t="str">
        <f t="shared" si="14"/>
        <v/>
      </c>
    </row>
    <row r="787" spans="1:45">
      <c r="A787" t="s">
        <v>2428</v>
      </c>
      <c r="B787" s="7">
        <v>45435</v>
      </c>
      <c r="C787" s="4">
        <v>45441</v>
      </c>
      <c r="D787">
        <f>C787-B787</f>
        <v>6</v>
      </c>
      <c r="E787" t="str">
        <f>TEXT(B787,"mmmm")</f>
        <v>May</v>
      </c>
      <c r="F787">
        <f>YEAR(B787)</f>
        <v>2024</v>
      </c>
      <c r="G787" t="s">
        <v>2429</v>
      </c>
      <c r="H787" t="s">
        <v>162</v>
      </c>
      <c r="I787" t="s">
        <v>37</v>
      </c>
      <c r="J787" t="s">
        <v>25</v>
      </c>
      <c r="K787" t="s">
        <v>236</v>
      </c>
      <c r="L787" t="s">
        <v>237</v>
      </c>
      <c r="M787" t="s">
        <v>28</v>
      </c>
      <c r="N787" t="s">
        <v>124</v>
      </c>
      <c r="O787" t="s">
        <v>2430</v>
      </c>
      <c r="P787" t="s">
        <v>44</v>
      </c>
      <c r="Q787">
        <v>2</v>
      </c>
      <c r="R787">
        <v>3012.94</v>
      </c>
      <c r="S787">
        <v>0.25</v>
      </c>
      <c r="T787" s="12">
        <f>S787</f>
        <v>0.25</v>
      </c>
      <c r="U787">
        <v>4519.41</v>
      </c>
      <c r="V787">
        <f>Q787*R787*(1-S787)</f>
        <v>4519.41</v>
      </c>
      <c r="W787">
        <v>3504.16</v>
      </c>
      <c r="X787">
        <v>1275.55</v>
      </c>
      <c r="Y787">
        <f>V787-W787</f>
        <v>1015.25</v>
      </c>
      <c r="Z787" s="12">
        <f>Y787/V787</f>
        <v>0.22464215461752751</v>
      </c>
      <c r="AA787" t="s">
        <v>155</v>
      </c>
      <c r="AB787" t="s">
        <v>68</v>
      </c>
      <c r="AC787" s="14" t="s">
        <v>2794</v>
      </c>
      <c r="AD787" t="s">
        <v>2782</v>
      </c>
      <c r="AE787" t="str">
        <f>PROPER(TRIM(AB787))</f>
        <v>Cancelled</v>
      </c>
      <c r="AS787" t="str">
        <f t="shared" si="14"/>
        <v/>
      </c>
    </row>
    <row r="788" spans="1:45">
      <c r="A788" t="s">
        <v>2431</v>
      </c>
      <c r="B788" s="7">
        <v>45815</v>
      </c>
      <c r="C788" s="4">
        <v>45846</v>
      </c>
      <c r="D788">
        <f>C788-B788</f>
        <v>31</v>
      </c>
      <c r="E788" t="str">
        <f>TEXT(B788,"mmmm")</f>
        <v>June</v>
      </c>
      <c r="F788">
        <f>YEAR(B788)</f>
        <v>2025</v>
      </c>
      <c r="G788" t="s">
        <v>2432</v>
      </c>
      <c r="H788" t="s">
        <v>62</v>
      </c>
      <c r="I788" t="s">
        <v>90</v>
      </c>
      <c r="J788" t="s">
        <v>25</v>
      </c>
      <c r="K788" t="s">
        <v>26</v>
      </c>
      <c r="L788" t="s">
        <v>27</v>
      </c>
      <c r="M788" t="s">
        <v>41</v>
      </c>
      <c r="N788" t="s">
        <v>57</v>
      </c>
      <c r="O788" t="s">
        <v>2433</v>
      </c>
      <c r="P788" t="s">
        <v>2783</v>
      </c>
      <c r="Q788">
        <v>4</v>
      </c>
      <c r="R788">
        <v>715.45</v>
      </c>
      <c r="S788">
        <v>0.05</v>
      </c>
      <c r="T788" s="12">
        <f>S788</f>
        <v>0.05</v>
      </c>
      <c r="U788">
        <v>2718.71</v>
      </c>
      <c r="V788">
        <f>Q788*R788*(1-S788)</f>
        <v>2718.71</v>
      </c>
      <c r="W788">
        <v>2065.0500000000002</v>
      </c>
      <c r="X788">
        <v>653.66</v>
      </c>
      <c r="Y788">
        <f>V788-W788</f>
        <v>653.65999999999985</v>
      </c>
      <c r="Z788" s="12">
        <f>Y788/V788</f>
        <v>0.24043020403058799</v>
      </c>
      <c r="AA788" t="s">
        <v>102</v>
      </c>
      <c r="AB788" t="s">
        <v>103</v>
      </c>
      <c r="AC788" s="10" t="s">
        <v>2795</v>
      </c>
      <c r="AD788" t="s">
        <v>2782</v>
      </c>
      <c r="AE788" t="str">
        <f>PROPER(TRIM(AB788))</f>
        <v>Returned</v>
      </c>
      <c r="AS788" t="str">
        <f t="shared" si="14"/>
        <v/>
      </c>
    </row>
    <row r="789" spans="1:45">
      <c r="A789" t="s">
        <v>2434</v>
      </c>
      <c r="B789" s="7">
        <v>45547</v>
      </c>
      <c r="C789" s="4">
        <v>45553</v>
      </c>
      <c r="D789">
        <f>C789-B789</f>
        <v>6</v>
      </c>
      <c r="E789" t="str">
        <f>TEXT(B789,"mmmm")</f>
        <v>September</v>
      </c>
      <c r="F789">
        <f>YEAR(B789)</f>
        <v>2024</v>
      </c>
      <c r="G789" t="s">
        <v>2435</v>
      </c>
      <c r="H789" t="s">
        <v>62</v>
      </c>
      <c r="I789" t="s">
        <v>95</v>
      </c>
      <c r="J789" t="s">
        <v>38</v>
      </c>
      <c r="K789" t="s">
        <v>145</v>
      </c>
      <c r="L789" t="s">
        <v>146</v>
      </c>
      <c r="M789" t="s">
        <v>28</v>
      </c>
      <c r="N789" t="s">
        <v>29</v>
      </c>
      <c r="O789" t="s">
        <v>2436</v>
      </c>
      <c r="P789" t="s">
        <v>31</v>
      </c>
      <c r="Q789">
        <v>2</v>
      </c>
      <c r="R789">
        <v>3718.77</v>
      </c>
      <c r="S789">
        <v>0.05</v>
      </c>
      <c r="T789" s="12">
        <f>S789</f>
        <v>0.05</v>
      </c>
      <c r="U789">
        <v>7065.66</v>
      </c>
      <c r="V789">
        <f>Q789*R789*(1-S789)</f>
        <v>7065.6629999999996</v>
      </c>
      <c r="W789">
        <v>4915.2700000000004</v>
      </c>
      <c r="X789">
        <v>2150.39</v>
      </c>
      <c r="Y789">
        <f>V789-W789</f>
        <v>2150.3929999999991</v>
      </c>
      <c r="Z789" s="12">
        <f>Y789/V789</f>
        <v>0.30434412170521002</v>
      </c>
      <c r="AA789" t="s">
        <v>32</v>
      </c>
      <c r="AB789" t="s">
        <v>33</v>
      </c>
      <c r="AC789" s="14" t="s">
        <v>2794</v>
      </c>
      <c r="AD789" t="s">
        <v>2782</v>
      </c>
      <c r="AE789" t="str">
        <f>PROPER(TRIM(AB789))</f>
        <v>Completed</v>
      </c>
      <c r="AS789" t="str">
        <f t="shared" si="14"/>
        <v/>
      </c>
    </row>
    <row r="790" spans="1:45">
      <c r="A790" t="s">
        <v>2437</v>
      </c>
      <c r="B790" s="7">
        <v>45505</v>
      </c>
      <c r="C790" s="4">
        <v>45506</v>
      </c>
      <c r="D790">
        <f>C790-B790</f>
        <v>1</v>
      </c>
      <c r="E790" t="str">
        <f>TEXT(B790,"mmmm")</f>
        <v>August</v>
      </c>
      <c r="F790">
        <f>YEAR(B790)</f>
        <v>2024</v>
      </c>
      <c r="G790" t="s">
        <v>2438</v>
      </c>
      <c r="H790" t="s">
        <v>47</v>
      </c>
      <c r="I790" t="s">
        <v>90</v>
      </c>
      <c r="J790" t="s">
        <v>25</v>
      </c>
      <c r="K790" t="s">
        <v>136</v>
      </c>
      <c r="L790" t="s">
        <v>137</v>
      </c>
      <c r="M790" t="s">
        <v>41</v>
      </c>
      <c r="N790" t="s">
        <v>66</v>
      </c>
      <c r="O790" t="s">
        <v>2439</v>
      </c>
      <c r="P790" t="s">
        <v>59</v>
      </c>
      <c r="Q790">
        <v>8</v>
      </c>
      <c r="R790">
        <v>2487.64</v>
      </c>
      <c r="S790">
        <v>0.1</v>
      </c>
      <c r="T790" s="12">
        <f>S790</f>
        <v>0.1</v>
      </c>
      <c r="U790">
        <v>17911.009999999998</v>
      </c>
      <c r="V790">
        <f>Q790*R790*(1-S790)</f>
        <v>17911.007999999998</v>
      </c>
      <c r="W790">
        <v>11546.05</v>
      </c>
      <c r="X790">
        <v>6364.96</v>
      </c>
      <c r="Y790">
        <f>V790-W790</f>
        <v>6364.9579999999987</v>
      </c>
      <c r="Z790" s="12">
        <f>Y790/V790</f>
        <v>0.35536570582738836</v>
      </c>
      <c r="AA790" t="s">
        <v>155</v>
      </c>
      <c r="AB790" t="s">
        <v>103</v>
      </c>
      <c r="AC790" s="14" t="s">
        <v>2794</v>
      </c>
      <c r="AD790" t="s">
        <v>2782</v>
      </c>
      <c r="AE790" t="str">
        <f>PROPER(TRIM(AB790))</f>
        <v>Returned</v>
      </c>
      <c r="AS790" t="str">
        <f t="shared" si="14"/>
        <v/>
      </c>
    </row>
    <row r="791" spans="1:45">
      <c r="A791" t="s">
        <v>2440</v>
      </c>
      <c r="B791" s="7">
        <v>45723</v>
      </c>
      <c r="C791" s="4">
        <v>45724</v>
      </c>
      <c r="D791">
        <f>C791-B791</f>
        <v>1</v>
      </c>
      <c r="E791" t="str">
        <f>TEXT(B791,"mmmm")</f>
        <v>March</v>
      </c>
      <c r="F791">
        <f>YEAR(B791)</f>
        <v>2025</v>
      </c>
      <c r="G791" t="s">
        <v>2441</v>
      </c>
      <c r="H791" t="s">
        <v>114</v>
      </c>
      <c r="I791" t="s">
        <v>95</v>
      </c>
      <c r="J791" t="s">
        <v>2783</v>
      </c>
      <c r="K791" t="s">
        <v>26</v>
      </c>
      <c r="L791" t="s">
        <v>109</v>
      </c>
      <c r="M791" t="s">
        <v>74</v>
      </c>
      <c r="N791" t="s">
        <v>80</v>
      </c>
      <c r="O791" t="s">
        <v>2442</v>
      </c>
      <c r="P791" t="s">
        <v>44</v>
      </c>
      <c r="Q791">
        <v>4</v>
      </c>
      <c r="R791">
        <v>3537.48</v>
      </c>
      <c r="S791">
        <v>0</v>
      </c>
      <c r="T791" s="12">
        <f>S791</f>
        <v>0</v>
      </c>
      <c r="U791">
        <v>14149.92</v>
      </c>
      <c r="V791">
        <f>Q791*R791*(1-S791)</f>
        <v>14149.92</v>
      </c>
      <c r="W791">
        <v>9466.51</v>
      </c>
      <c r="X791">
        <v>4683.41</v>
      </c>
      <c r="Y791">
        <f>V791-W791</f>
        <v>4683.41</v>
      </c>
      <c r="Z791" s="12">
        <f>Y791/V791</f>
        <v>0.33098491016203624</v>
      </c>
      <c r="AA791" t="s">
        <v>32</v>
      </c>
      <c r="AB791" t="s">
        <v>33</v>
      </c>
      <c r="AC791" s="10" t="s">
        <v>2796</v>
      </c>
      <c r="AD791" t="s">
        <v>2782</v>
      </c>
      <c r="AE791" t="str">
        <f>PROPER(TRIM(AB791))</f>
        <v>Completed</v>
      </c>
      <c r="AS791" t="str">
        <f t="shared" si="14"/>
        <v/>
      </c>
    </row>
    <row r="792" spans="1:45">
      <c r="A792" t="s">
        <v>2443</v>
      </c>
      <c r="B792" s="7">
        <v>45443</v>
      </c>
      <c r="C792" s="4">
        <v>45445</v>
      </c>
      <c r="D792">
        <f>C792-B792</f>
        <v>2</v>
      </c>
      <c r="E792" t="str">
        <f>TEXT(B792,"mmmm")</f>
        <v>May</v>
      </c>
      <c r="F792">
        <f>YEAR(B792)</f>
        <v>2024</v>
      </c>
      <c r="G792" t="s">
        <v>2444</v>
      </c>
      <c r="H792" t="s">
        <v>118</v>
      </c>
      <c r="I792" t="s">
        <v>90</v>
      </c>
      <c r="J792" t="s">
        <v>54</v>
      </c>
      <c r="K792" t="s">
        <v>84</v>
      </c>
      <c r="L792" t="s">
        <v>85</v>
      </c>
      <c r="M792" t="s">
        <v>28</v>
      </c>
      <c r="N792" t="s">
        <v>48</v>
      </c>
      <c r="O792" t="s">
        <v>2445</v>
      </c>
      <c r="P792" t="s">
        <v>59</v>
      </c>
      <c r="Q792">
        <v>8</v>
      </c>
      <c r="R792">
        <v>667.59</v>
      </c>
      <c r="S792">
        <v>0.2</v>
      </c>
      <c r="T792" s="12">
        <f>S792</f>
        <v>0.2</v>
      </c>
      <c r="U792">
        <v>4272.58</v>
      </c>
      <c r="V792">
        <f>Q792*R792*(1-S792)</f>
        <v>4272.576</v>
      </c>
      <c r="W792">
        <v>3328.92</v>
      </c>
      <c r="X792">
        <v>943.66</v>
      </c>
      <c r="Y792">
        <f>V792-W792</f>
        <v>943.65599999999995</v>
      </c>
      <c r="Z792" s="12">
        <f>Y792/V792</f>
        <v>0.22086347908147214</v>
      </c>
      <c r="AA792" t="s">
        <v>32</v>
      </c>
      <c r="AB792" t="s">
        <v>33</v>
      </c>
      <c r="AC792" s="14" t="s">
        <v>2794</v>
      </c>
      <c r="AD792" t="s">
        <v>2782</v>
      </c>
      <c r="AE792" t="str">
        <f>PROPER(TRIM(AB792))</f>
        <v>Completed</v>
      </c>
      <c r="AS792" t="str">
        <f t="shared" si="14"/>
        <v/>
      </c>
    </row>
    <row r="793" spans="1:45">
      <c r="A793" t="s">
        <v>2446</v>
      </c>
      <c r="B793" s="7">
        <v>45567</v>
      </c>
      <c r="C793" s="4">
        <v>45571</v>
      </c>
      <c r="D793">
        <f>C793-B793</f>
        <v>4</v>
      </c>
      <c r="E793" t="str">
        <f>TEXT(B793,"mmmm")</f>
        <v>October</v>
      </c>
      <c r="F793">
        <f>YEAR(B793)</f>
        <v>2024</v>
      </c>
      <c r="G793" t="s">
        <v>2447</v>
      </c>
      <c r="H793" t="s">
        <v>118</v>
      </c>
      <c r="I793" t="s">
        <v>95</v>
      </c>
      <c r="J793" t="s">
        <v>54</v>
      </c>
      <c r="K793" t="s">
        <v>175</v>
      </c>
      <c r="L793" t="s">
        <v>176</v>
      </c>
      <c r="M793" t="s">
        <v>41</v>
      </c>
      <c r="N793" t="s">
        <v>158</v>
      </c>
      <c r="O793" t="s">
        <v>2448</v>
      </c>
      <c r="P793" t="s">
        <v>44</v>
      </c>
      <c r="Q793">
        <v>8</v>
      </c>
      <c r="R793">
        <v>1558.77</v>
      </c>
      <c r="S793">
        <v>0.25</v>
      </c>
      <c r="T793" s="12">
        <f>S793</f>
        <v>0.25</v>
      </c>
      <c r="U793">
        <v>9352.6200000000008</v>
      </c>
      <c r="V793">
        <f>Q793*R793*(1-S793)</f>
        <v>9352.619999999999</v>
      </c>
      <c r="W793">
        <v>5269.41</v>
      </c>
      <c r="X793">
        <v>4083.21</v>
      </c>
      <c r="Y793">
        <f>V793-W793</f>
        <v>4083.2099999999991</v>
      </c>
      <c r="Z793" s="12">
        <f>Y793/V793</f>
        <v>0.43658461479243243</v>
      </c>
      <c r="AA793" t="s">
        <v>32</v>
      </c>
      <c r="AB793" t="s">
        <v>33</v>
      </c>
      <c r="AC793" s="14" t="s">
        <v>2794</v>
      </c>
      <c r="AD793" t="s">
        <v>2782</v>
      </c>
      <c r="AE793" t="str">
        <f>PROPER(TRIM(AB793))</f>
        <v>Completed</v>
      </c>
      <c r="AS793" t="str">
        <f t="shared" si="14"/>
        <v/>
      </c>
    </row>
    <row r="794" spans="1:45">
      <c r="A794" t="s">
        <v>2449</v>
      </c>
      <c r="B794" s="7">
        <v>45812</v>
      </c>
      <c r="C794" s="4">
        <v>45816</v>
      </c>
      <c r="D794">
        <f>C794-B794</f>
        <v>4</v>
      </c>
      <c r="E794" t="str">
        <f>TEXT(B794,"mmmm")</f>
        <v>June</v>
      </c>
      <c r="F794">
        <f>YEAR(B794)</f>
        <v>2025</v>
      </c>
      <c r="G794" t="s">
        <v>2450</v>
      </c>
      <c r="H794" t="s">
        <v>53</v>
      </c>
      <c r="I794" t="s">
        <v>37</v>
      </c>
      <c r="J794" t="s">
        <v>38</v>
      </c>
      <c r="K794" t="s">
        <v>166</v>
      </c>
      <c r="L794" t="s">
        <v>167</v>
      </c>
      <c r="M794" t="s">
        <v>41</v>
      </c>
      <c r="N794" t="s">
        <v>57</v>
      </c>
      <c r="O794" t="s">
        <v>2451</v>
      </c>
      <c r="P794" t="s">
        <v>31</v>
      </c>
      <c r="Q794">
        <v>1</v>
      </c>
      <c r="R794">
        <v>3501.12</v>
      </c>
      <c r="S794">
        <v>0.2</v>
      </c>
      <c r="T794" s="12">
        <f>S794</f>
        <v>0.2</v>
      </c>
      <c r="U794">
        <v>2800.9</v>
      </c>
      <c r="V794">
        <f>Q794*R794*(1-S794)</f>
        <v>2800.8960000000002</v>
      </c>
      <c r="W794">
        <v>1735.98</v>
      </c>
      <c r="X794">
        <v>1064.92</v>
      </c>
      <c r="Y794">
        <f>V794-W794</f>
        <v>1064.9160000000002</v>
      </c>
      <c r="Z794" s="12">
        <f>Y794/V794</f>
        <v>0.38020547710446945</v>
      </c>
      <c r="AA794" t="s">
        <v>32</v>
      </c>
      <c r="AB794" t="s">
        <v>103</v>
      </c>
      <c r="AC794" s="14" t="s">
        <v>2794</v>
      </c>
      <c r="AD794" t="s">
        <v>2782</v>
      </c>
      <c r="AE794" t="str">
        <f>PROPER(TRIM(AB794))</f>
        <v>Returned</v>
      </c>
      <c r="AS794" t="str">
        <f t="shared" si="14"/>
        <v/>
      </c>
    </row>
    <row r="795" spans="1:45">
      <c r="A795" t="s">
        <v>2452</v>
      </c>
      <c r="B795" s="7">
        <v>45440</v>
      </c>
      <c r="C795" s="4">
        <v>45446</v>
      </c>
      <c r="D795">
        <f>C795-B795</f>
        <v>6</v>
      </c>
      <c r="E795" t="str">
        <f>TEXT(B795,"mmmm")</f>
        <v>May</v>
      </c>
      <c r="F795">
        <f>YEAR(B795)</f>
        <v>2024</v>
      </c>
      <c r="G795" t="s">
        <v>2453</v>
      </c>
      <c r="H795" t="s">
        <v>71</v>
      </c>
      <c r="I795" t="s">
        <v>90</v>
      </c>
      <c r="J795" t="s">
        <v>25</v>
      </c>
      <c r="K795" t="s">
        <v>26</v>
      </c>
      <c r="L795" t="s">
        <v>27</v>
      </c>
      <c r="M795" t="s">
        <v>74</v>
      </c>
      <c r="N795" t="s">
        <v>80</v>
      </c>
      <c r="O795" t="s">
        <v>2454</v>
      </c>
      <c r="P795" t="s">
        <v>31</v>
      </c>
      <c r="Q795">
        <v>5</v>
      </c>
      <c r="R795">
        <v>4302.32</v>
      </c>
      <c r="S795">
        <v>0</v>
      </c>
      <c r="T795" s="12">
        <f>S795</f>
        <v>0</v>
      </c>
      <c r="U795">
        <v>21511.599999999999</v>
      </c>
      <c r="V795">
        <f>Q795*R795*(1-S795)</f>
        <v>21511.599999999999</v>
      </c>
      <c r="W795">
        <v>15408.47</v>
      </c>
      <c r="X795">
        <v>6103.13</v>
      </c>
      <c r="Y795">
        <f>V795-W795</f>
        <v>6103.1299999999992</v>
      </c>
      <c r="Z795" s="12">
        <f>Y795/V795</f>
        <v>0.28371343833094703</v>
      </c>
      <c r="AA795" t="s">
        <v>32</v>
      </c>
      <c r="AB795" t="s">
        <v>33</v>
      </c>
      <c r="AC795" s="14" t="s">
        <v>2794</v>
      </c>
      <c r="AD795" t="s">
        <v>2782</v>
      </c>
      <c r="AE795" t="str">
        <f>PROPER(TRIM(AB795))</f>
        <v>Completed</v>
      </c>
      <c r="AS795" t="str">
        <f t="shared" si="14"/>
        <v/>
      </c>
    </row>
    <row r="796" spans="1:45">
      <c r="A796" t="s">
        <v>2455</v>
      </c>
      <c r="B796" s="7">
        <v>45830</v>
      </c>
      <c r="C796" s="4">
        <v>45832</v>
      </c>
      <c r="D796">
        <f>C796-B796</f>
        <v>2</v>
      </c>
      <c r="E796" t="str">
        <f>TEXT(B796,"mmmm")</f>
        <v>June</v>
      </c>
      <c r="F796">
        <f>YEAR(B796)</f>
        <v>2025</v>
      </c>
      <c r="G796" t="s">
        <v>2456</v>
      </c>
      <c r="H796" t="s">
        <v>132</v>
      </c>
      <c r="I796" t="s">
        <v>90</v>
      </c>
      <c r="J796" t="s">
        <v>38</v>
      </c>
      <c r="K796" t="s">
        <v>166</v>
      </c>
      <c r="L796" t="s">
        <v>167</v>
      </c>
      <c r="M796" t="s">
        <v>28</v>
      </c>
      <c r="N796" t="s">
        <v>29</v>
      </c>
      <c r="O796" t="s">
        <v>2457</v>
      </c>
      <c r="P796" t="s">
        <v>59</v>
      </c>
      <c r="Q796">
        <v>9</v>
      </c>
      <c r="R796">
        <v>951.55</v>
      </c>
      <c r="S796">
        <v>0.15</v>
      </c>
      <c r="T796" s="12">
        <f>S796</f>
        <v>0.15</v>
      </c>
      <c r="U796">
        <v>7279.36</v>
      </c>
      <c r="V796">
        <f>Q796*R796*(1-S796)</f>
        <v>7279.3574999999992</v>
      </c>
      <c r="W796">
        <v>4870.3900000000003</v>
      </c>
      <c r="X796">
        <v>2408.9699999999998</v>
      </c>
      <c r="Y796">
        <f>V796-W796</f>
        <v>2408.9674999999988</v>
      </c>
      <c r="Z796" s="12">
        <f>Y796/V796</f>
        <v>0.33093133562955235</v>
      </c>
      <c r="AA796" t="s">
        <v>32</v>
      </c>
      <c r="AB796" t="s">
        <v>33</v>
      </c>
      <c r="AC796" s="14" t="s">
        <v>2794</v>
      </c>
      <c r="AD796" t="s">
        <v>2782</v>
      </c>
      <c r="AE796" t="str">
        <f>PROPER(TRIM(AB796))</f>
        <v>Completed</v>
      </c>
      <c r="AS796" t="str">
        <f t="shared" si="14"/>
        <v/>
      </c>
    </row>
    <row r="797" spans="1:45">
      <c r="A797" t="s">
        <v>2458</v>
      </c>
      <c r="B797" s="7">
        <v>45503</v>
      </c>
      <c r="C797" s="4">
        <v>45503</v>
      </c>
      <c r="D797">
        <f>C797-B797</f>
        <v>0</v>
      </c>
      <c r="E797" t="str">
        <f>TEXT(B797,"mmmm")</f>
        <v>July</v>
      </c>
      <c r="F797">
        <f>YEAR(B797)</f>
        <v>2024</v>
      </c>
      <c r="G797" t="s">
        <v>2459</v>
      </c>
      <c r="H797" t="s">
        <v>162</v>
      </c>
      <c r="I797" t="s">
        <v>95</v>
      </c>
      <c r="J797" t="s">
        <v>38</v>
      </c>
      <c r="K797" t="s">
        <v>39</v>
      </c>
      <c r="L797" t="s">
        <v>40</v>
      </c>
      <c r="M797" t="s">
        <v>74</v>
      </c>
      <c r="N797" t="s">
        <v>80</v>
      </c>
      <c r="O797" t="s">
        <v>2460</v>
      </c>
      <c r="P797" t="s">
        <v>44</v>
      </c>
      <c r="Q797">
        <v>9</v>
      </c>
      <c r="R797">
        <v>2894.66</v>
      </c>
      <c r="S797">
        <v>0</v>
      </c>
      <c r="T797" s="12">
        <f>S797</f>
        <v>0</v>
      </c>
      <c r="U797">
        <v>26051.94</v>
      </c>
      <c r="V797">
        <f>Q797*R797*(1-S797)</f>
        <v>26051.94</v>
      </c>
      <c r="W797">
        <v>16883.59</v>
      </c>
      <c r="X797">
        <v>9168.35</v>
      </c>
      <c r="Y797">
        <f>V797-W797</f>
        <v>9168.3499999999985</v>
      </c>
      <c r="Z797" s="12">
        <f>Y797/V797</f>
        <v>0.3519258066769691</v>
      </c>
      <c r="AA797" t="s">
        <v>102</v>
      </c>
      <c r="AB797" t="s">
        <v>68</v>
      </c>
      <c r="AC797" s="14" t="s">
        <v>2794</v>
      </c>
      <c r="AD797" t="s">
        <v>2782</v>
      </c>
      <c r="AE797" t="str">
        <f>PROPER(TRIM(AB797))</f>
        <v>Cancelled</v>
      </c>
      <c r="AS797" t="str">
        <f t="shared" si="14"/>
        <v/>
      </c>
    </row>
    <row r="798" spans="1:45">
      <c r="A798" t="s">
        <v>2461</v>
      </c>
      <c r="B798" s="7">
        <v>45374</v>
      </c>
      <c r="C798" s="4">
        <v>45381</v>
      </c>
      <c r="D798">
        <f>C798-B798</f>
        <v>7</v>
      </c>
      <c r="E798" t="str">
        <f>TEXT(B798,"mmmm")</f>
        <v>March</v>
      </c>
      <c r="F798">
        <f>YEAR(B798)</f>
        <v>2024</v>
      </c>
      <c r="G798" t="s">
        <v>2462</v>
      </c>
      <c r="H798" t="s">
        <v>141</v>
      </c>
      <c r="I798" t="s">
        <v>37</v>
      </c>
      <c r="J798" t="s">
        <v>54</v>
      </c>
      <c r="K798" t="s">
        <v>84</v>
      </c>
      <c r="L798" t="s">
        <v>85</v>
      </c>
      <c r="M798" t="s">
        <v>74</v>
      </c>
      <c r="N798" t="s">
        <v>274</v>
      </c>
      <c r="O798" t="s">
        <v>2463</v>
      </c>
      <c r="P798" t="s">
        <v>50</v>
      </c>
      <c r="Q798">
        <v>6</v>
      </c>
      <c r="R798">
        <v>1894.44</v>
      </c>
      <c r="S798">
        <v>0.15</v>
      </c>
      <c r="T798" s="12">
        <f>S798</f>
        <v>0.15</v>
      </c>
      <c r="U798">
        <v>9661.64</v>
      </c>
      <c r="V798">
        <f>Q798*R798*(1-S798)</f>
        <v>9661.6439999999984</v>
      </c>
      <c r="W798">
        <v>6303.77</v>
      </c>
      <c r="X798">
        <v>3357.87</v>
      </c>
      <c r="Y798">
        <f>V798-W798</f>
        <v>3357.873999999998</v>
      </c>
      <c r="Z798" s="12">
        <f>Y798/V798</f>
        <v>0.34754685641491223</v>
      </c>
      <c r="AA798" t="s">
        <v>32</v>
      </c>
      <c r="AB798" t="s">
        <v>33</v>
      </c>
      <c r="AC798" s="14" t="s">
        <v>2794</v>
      </c>
      <c r="AD798" t="s">
        <v>2782</v>
      </c>
      <c r="AE798" t="str">
        <f>PROPER(TRIM(AB798))</f>
        <v>Completed</v>
      </c>
      <c r="AS798" t="str">
        <f t="shared" si="14"/>
        <v/>
      </c>
    </row>
    <row r="799" spans="1:45">
      <c r="A799" t="s">
        <v>2464</v>
      </c>
      <c r="B799" s="7">
        <v>45400</v>
      </c>
      <c r="C799" s="4">
        <v>45404</v>
      </c>
      <c r="D799">
        <f>C799-B799</f>
        <v>4</v>
      </c>
      <c r="E799" t="str">
        <f>TEXT(B799,"mmmm")</f>
        <v>April</v>
      </c>
      <c r="F799">
        <f>YEAR(B799)</f>
        <v>2024</v>
      </c>
      <c r="G799" t="s">
        <v>2465</v>
      </c>
      <c r="H799" t="s">
        <v>128</v>
      </c>
      <c r="I799" t="s">
        <v>24</v>
      </c>
      <c r="J799" t="s">
        <v>38</v>
      </c>
      <c r="K799" t="s">
        <v>39</v>
      </c>
      <c r="L799" t="s">
        <v>40</v>
      </c>
      <c r="M799" t="s">
        <v>28</v>
      </c>
      <c r="N799" t="s">
        <v>153</v>
      </c>
      <c r="O799" t="s">
        <v>2466</v>
      </c>
      <c r="P799" t="s">
        <v>50</v>
      </c>
      <c r="Q799">
        <v>8</v>
      </c>
      <c r="R799">
        <v>1714.37</v>
      </c>
      <c r="S799">
        <v>0</v>
      </c>
      <c r="T799" s="12">
        <f>S799</f>
        <v>0</v>
      </c>
      <c r="U799">
        <v>13714.96</v>
      </c>
      <c r="V799">
        <f>Q799*R799*(1-S799)</f>
        <v>13714.96</v>
      </c>
      <c r="W799">
        <v>10550.47</v>
      </c>
      <c r="X799">
        <v>3164.49</v>
      </c>
      <c r="Y799">
        <f>V799-W799</f>
        <v>3164.49</v>
      </c>
      <c r="Z799" s="12">
        <f>Y799/V799</f>
        <v>0.23073271814135804</v>
      </c>
      <c r="AA799" t="s">
        <v>155</v>
      </c>
      <c r="AB799" t="s">
        <v>68</v>
      </c>
      <c r="AC799" s="14" t="s">
        <v>2794</v>
      </c>
      <c r="AD799" t="s">
        <v>2782</v>
      </c>
      <c r="AE799" t="str">
        <f>PROPER(TRIM(AB799))</f>
        <v>Cancelled</v>
      </c>
      <c r="AS799" t="str">
        <f t="shared" si="14"/>
        <v/>
      </c>
    </row>
    <row r="800" spans="1:45">
      <c r="A800" t="s">
        <v>2467</v>
      </c>
      <c r="B800" s="7">
        <v>45849</v>
      </c>
      <c r="C800" s="4">
        <v>45847</v>
      </c>
      <c r="D800" s="10">
        <f>C800-B800</f>
        <v>-2</v>
      </c>
      <c r="E800" t="str">
        <f>TEXT(B800,"mmmm")</f>
        <v>July</v>
      </c>
      <c r="F800">
        <f>YEAR(B800)</f>
        <v>2025</v>
      </c>
      <c r="G800" t="s">
        <v>2468</v>
      </c>
      <c r="H800" t="s">
        <v>89</v>
      </c>
      <c r="I800" t="s">
        <v>90</v>
      </c>
      <c r="J800" t="s">
        <v>25</v>
      </c>
      <c r="K800" t="s">
        <v>350</v>
      </c>
      <c r="L800" t="s">
        <v>351</v>
      </c>
      <c r="M800" t="s">
        <v>41</v>
      </c>
      <c r="N800" t="s">
        <v>57</v>
      </c>
      <c r="O800" t="s">
        <v>2469</v>
      </c>
      <c r="P800" t="s">
        <v>59</v>
      </c>
      <c r="Q800">
        <v>9</v>
      </c>
      <c r="R800">
        <v>1706.05</v>
      </c>
      <c r="S800">
        <v>0</v>
      </c>
      <c r="T800" s="12">
        <f>S800</f>
        <v>0</v>
      </c>
      <c r="U800">
        <v>15354.45</v>
      </c>
      <c r="V800">
        <f>Q800*R800*(1-S800)</f>
        <v>15354.449999999999</v>
      </c>
      <c r="W800">
        <v>9656.5</v>
      </c>
      <c r="X800">
        <v>5697.95</v>
      </c>
      <c r="Y800">
        <f>V800-W800</f>
        <v>5697.9499999999989</v>
      </c>
      <c r="Z800" s="12">
        <f>Y800/V800</f>
        <v>0.37109437329243311</v>
      </c>
      <c r="AA800" t="s">
        <v>32</v>
      </c>
      <c r="AB800" t="s">
        <v>33</v>
      </c>
      <c r="AC800" s="10" t="s">
        <v>2792</v>
      </c>
      <c r="AD800" t="s">
        <v>2782</v>
      </c>
      <c r="AE800" t="str">
        <f>PROPER(TRIM(AB800))</f>
        <v>Completed</v>
      </c>
      <c r="AS800" t="str">
        <f t="shared" si="14"/>
        <v/>
      </c>
    </row>
    <row r="801" spans="1:45">
      <c r="A801" t="s">
        <v>2470</v>
      </c>
      <c r="B801" s="7">
        <v>45575</v>
      </c>
      <c r="C801" s="4">
        <v>45582</v>
      </c>
      <c r="D801">
        <f>C801-B801</f>
        <v>7</v>
      </c>
      <c r="E801" t="str">
        <f>TEXT(B801,"mmmm")</f>
        <v>October</v>
      </c>
      <c r="F801">
        <f>YEAR(B801)</f>
        <v>2024</v>
      </c>
      <c r="G801" t="s">
        <v>2471</v>
      </c>
      <c r="H801" t="s">
        <v>47</v>
      </c>
      <c r="I801" t="s">
        <v>95</v>
      </c>
      <c r="J801" t="s">
        <v>25</v>
      </c>
      <c r="K801" t="s">
        <v>236</v>
      </c>
      <c r="L801" t="s">
        <v>237</v>
      </c>
      <c r="M801" t="s">
        <v>74</v>
      </c>
      <c r="N801" t="s">
        <v>75</v>
      </c>
      <c r="O801" t="s">
        <v>2472</v>
      </c>
      <c r="P801" t="s">
        <v>2783</v>
      </c>
      <c r="Q801">
        <v>5</v>
      </c>
      <c r="R801">
        <v>967.41</v>
      </c>
      <c r="S801">
        <v>0.05</v>
      </c>
      <c r="T801" s="12">
        <f>S801</f>
        <v>0.05</v>
      </c>
      <c r="U801">
        <v>4595.2</v>
      </c>
      <c r="V801">
        <f>Q801*R801*(1-S801)</f>
        <v>4595.1975000000002</v>
      </c>
      <c r="W801">
        <v>3887.41</v>
      </c>
      <c r="X801">
        <v>707.79</v>
      </c>
      <c r="Y801">
        <f>V801-W801</f>
        <v>707.78750000000036</v>
      </c>
      <c r="Z801" s="12">
        <f>Y801/V801</f>
        <v>0.15402765604742785</v>
      </c>
      <c r="AA801" t="s">
        <v>32</v>
      </c>
      <c r="AB801" t="s">
        <v>103</v>
      </c>
      <c r="AC801" s="10" t="s">
        <v>2795</v>
      </c>
      <c r="AD801" t="s">
        <v>2782</v>
      </c>
      <c r="AE801" t="str">
        <f>PROPER(TRIM(AB801))</f>
        <v>Returned</v>
      </c>
      <c r="AS801" t="str">
        <f t="shared" si="14"/>
        <v/>
      </c>
    </row>
    <row r="802" spans="1:45">
      <c r="A802" t="s">
        <v>2473</v>
      </c>
      <c r="B802" s="7">
        <v>45352</v>
      </c>
      <c r="C802" s="4">
        <v>45358</v>
      </c>
      <c r="D802">
        <f>C802-B802</f>
        <v>6</v>
      </c>
      <c r="E802" t="str">
        <f>TEXT(B802,"mmmm")</f>
        <v>March</v>
      </c>
      <c r="F802">
        <f>YEAR(B802)</f>
        <v>2024</v>
      </c>
      <c r="G802" t="s">
        <v>2474</v>
      </c>
      <c r="H802" t="s">
        <v>71</v>
      </c>
      <c r="I802" t="s">
        <v>37</v>
      </c>
      <c r="J802" t="s">
        <v>63</v>
      </c>
      <c r="K802" t="s">
        <v>64</v>
      </c>
      <c r="L802" t="s">
        <v>65</v>
      </c>
      <c r="M802" t="s">
        <v>28</v>
      </c>
      <c r="N802" t="s">
        <v>124</v>
      </c>
      <c r="O802" t="s">
        <v>2475</v>
      </c>
      <c r="P802" t="s">
        <v>31</v>
      </c>
      <c r="Q802">
        <v>6</v>
      </c>
      <c r="R802">
        <v>4163.72</v>
      </c>
      <c r="S802">
        <v>0.15</v>
      </c>
      <c r="T802" s="12">
        <f>S802</f>
        <v>0.15</v>
      </c>
      <c r="U802">
        <v>21234.97</v>
      </c>
      <c r="V802">
        <f>Q802*R802*(1-S802)</f>
        <v>21234.971999999998</v>
      </c>
      <c r="W802">
        <v>16736.09</v>
      </c>
      <c r="X802">
        <v>4498.88</v>
      </c>
      <c r="Y802">
        <f>V802-W802</f>
        <v>4498.8819999999978</v>
      </c>
      <c r="Z802" s="12">
        <f>Y802/V802</f>
        <v>0.21186192286950029</v>
      </c>
      <c r="AA802" t="s">
        <v>32</v>
      </c>
      <c r="AB802" t="s">
        <v>33</v>
      </c>
      <c r="AC802" s="14" t="s">
        <v>2794</v>
      </c>
      <c r="AD802" t="s">
        <v>2782</v>
      </c>
      <c r="AE802" t="str">
        <f>PROPER(TRIM(AB802))</f>
        <v>Completed</v>
      </c>
      <c r="AS802" t="str">
        <f t="shared" si="14"/>
        <v/>
      </c>
    </row>
    <row r="803" spans="1:45">
      <c r="A803" t="s">
        <v>2476</v>
      </c>
      <c r="B803" s="7">
        <v>45938</v>
      </c>
      <c r="C803" s="4">
        <v>45945</v>
      </c>
      <c r="D803">
        <f>C803-B803</f>
        <v>7</v>
      </c>
      <c r="E803" t="str">
        <f>TEXT(B803,"mmmm")</f>
        <v>October</v>
      </c>
      <c r="F803">
        <f>YEAR(B803)</f>
        <v>2025</v>
      </c>
      <c r="G803" t="s">
        <v>2477</v>
      </c>
      <c r="H803" t="s">
        <v>128</v>
      </c>
      <c r="I803" t="s">
        <v>95</v>
      </c>
      <c r="J803" t="s">
        <v>38</v>
      </c>
      <c r="K803" t="s">
        <v>39</v>
      </c>
      <c r="L803" t="s">
        <v>40</v>
      </c>
      <c r="M803" t="s">
        <v>74</v>
      </c>
      <c r="N803" t="s">
        <v>75</v>
      </c>
      <c r="O803" t="s">
        <v>2478</v>
      </c>
      <c r="P803" t="s">
        <v>31</v>
      </c>
      <c r="Q803">
        <v>3</v>
      </c>
      <c r="R803">
        <v>3372.21</v>
      </c>
      <c r="S803">
        <v>0.2</v>
      </c>
      <c r="T803" s="12">
        <f>S803</f>
        <v>0.2</v>
      </c>
      <c r="U803">
        <v>8093.3</v>
      </c>
      <c r="V803">
        <f>Q803*R803*(1-S803)</f>
        <v>8093.304000000001</v>
      </c>
      <c r="W803">
        <v>6052.43</v>
      </c>
      <c r="X803">
        <v>2040.87</v>
      </c>
      <c r="Y803">
        <f>V803-W803</f>
        <v>2040.8740000000007</v>
      </c>
      <c r="Z803" s="12">
        <f>Y803/V803</f>
        <v>0.25216821214179036</v>
      </c>
      <c r="AA803" t="s">
        <v>111</v>
      </c>
      <c r="AB803" t="s">
        <v>68</v>
      </c>
      <c r="AC803" s="14" t="s">
        <v>2794</v>
      </c>
      <c r="AD803" t="s">
        <v>2782</v>
      </c>
      <c r="AE803" t="str">
        <f>PROPER(TRIM(AB803))</f>
        <v>Cancelled</v>
      </c>
      <c r="AS803" t="str">
        <f t="shared" si="14"/>
        <v/>
      </c>
    </row>
    <row r="804" spans="1:45">
      <c r="A804" t="s">
        <v>2479</v>
      </c>
      <c r="B804" s="7">
        <v>45704</v>
      </c>
      <c r="C804" s="4">
        <v>45704</v>
      </c>
      <c r="D804">
        <f>C804-B804</f>
        <v>0</v>
      </c>
      <c r="E804" t="str">
        <f>TEXT(B804,"mmmm")</f>
        <v>February</v>
      </c>
      <c r="F804">
        <f>YEAR(B804)</f>
        <v>2025</v>
      </c>
      <c r="G804" t="s">
        <v>2480</v>
      </c>
      <c r="H804" t="s">
        <v>141</v>
      </c>
      <c r="I804" t="s">
        <v>37</v>
      </c>
      <c r="J804" t="s">
        <v>38</v>
      </c>
      <c r="K804" t="s">
        <v>166</v>
      </c>
      <c r="L804" t="s">
        <v>167</v>
      </c>
      <c r="M804" t="s">
        <v>41</v>
      </c>
      <c r="N804" t="s">
        <v>57</v>
      </c>
      <c r="O804" t="s">
        <v>2481</v>
      </c>
      <c r="P804" t="s">
        <v>31</v>
      </c>
      <c r="Q804">
        <v>6</v>
      </c>
      <c r="R804">
        <v>1441.91</v>
      </c>
      <c r="S804">
        <v>0</v>
      </c>
      <c r="T804" s="12">
        <f>S804</f>
        <v>0</v>
      </c>
      <c r="U804">
        <v>8651.4599999999991</v>
      </c>
      <c r="V804">
        <f>Q804*R804*(1-S804)</f>
        <v>8651.4600000000009</v>
      </c>
      <c r="W804">
        <v>5254.62</v>
      </c>
      <c r="X804">
        <v>3396.84</v>
      </c>
      <c r="Y804">
        <f>V804-W804</f>
        <v>3396.8400000000011</v>
      </c>
      <c r="Z804" s="12">
        <f>Y804/V804</f>
        <v>0.39263199506210522</v>
      </c>
      <c r="AA804" t="s">
        <v>155</v>
      </c>
      <c r="AB804" t="s">
        <v>103</v>
      </c>
      <c r="AC804" s="14" t="s">
        <v>2794</v>
      </c>
      <c r="AD804" t="s">
        <v>2782</v>
      </c>
      <c r="AE804" t="str">
        <f>PROPER(TRIM(AB804))</f>
        <v>Returned</v>
      </c>
      <c r="AS804" t="str">
        <f t="shared" si="14"/>
        <v/>
      </c>
    </row>
    <row r="805" spans="1:45">
      <c r="A805" t="s">
        <v>2482</v>
      </c>
      <c r="B805" s="7">
        <v>45635</v>
      </c>
      <c r="C805" s="4">
        <v>45639</v>
      </c>
      <c r="D805">
        <f>C805-B805</f>
        <v>4</v>
      </c>
      <c r="E805" t="str">
        <f>TEXT(B805,"mmmm")</f>
        <v>December</v>
      </c>
      <c r="F805">
        <f>YEAR(B805)</f>
        <v>2024</v>
      </c>
      <c r="G805" t="s">
        <v>2483</v>
      </c>
      <c r="H805" t="s">
        <v>141</v>
      </c>
      <c r="I805" t="s">
        <v>24</v>
      </c>
      <c r="J805" t="s">
        <v>2783</v>
      </c>
      <c r="K805" t="s">
        <v>228</v>
      </c>
      <c r="L805" t="s">
        <v>229</v>
      </c>
      <c r="M805" t="s">
        <v>28</v>
      </c>
      <c r="N805" t="s">
        <v>91</v>
      </c>
      <c r="O805" t="s">
        <v>2484</v>
      </c>
      <c r="P805" t="s">
        <v>50</v>
      </c>
      <c r="Q805">
        <v>1</v>
      </c>
      <c r="R805">
        <v>4306.6499999999996</v>
      </c>
      <c r="S805">
        <v>0</v>
      </c>
      <c r="T805" s="12">
        <f>S805</f>
        <v>0</v>
      </c>
      <c r="U805">
        <v>4306.6499999999996</v>
      </c>
      <c r="V805">
        <f>Q805*R805*(1-S805)</f>
        <v>4306.6499999999996</v>
      </c>
      <c r="W805">
        <v>2568.8200000000002</v>
      </c>
      <c r="X805">
        <v>1737.83</v>
      </c>
      <c r="Y805">
        <f>V805-W805</f>
        <v>1737.8299999999995</v>
      </c>
      <c r="Z805" s="12">
        <f>Y805/V805</f>
        <v>0.40352245945224235</v>
      </c>
      <c r="AA805" t="s">
        <v>32</v>
      </c>
      <c r="AB805" t="s">
        <v>33</v>
      </c>
      <c r="AC805" s="10" t="s">
        <v>2796</v>
      </c>
      <c r="AD805" t="s">
        <v>2782</v>
      </c>
      <c r="AE805" t="str">
        <f>PROPER(TRIM(AB805))</f>
        <v>Completed</v>
      </c>
      <c r="AS805" t="str">
        <f t="shared" si="14"/>
        <v/>
      </c>
    </row>
    <row r="806" spans="1:45">
      <c r="A806" t="s">
        <v>2485</v>
      </c>
      <c r="B806" s="7">
        <v>45910</v>
      </c>
      <c r="C806" s="4">
        <v>45918</v>
      </c>
      <c r="D806">
        <f>C806-B806</f>
        <v>8</v>
      </c>
      <c r="E806" t="str">
        <f>TEXT(B806,"mmmm")</f>
        <v>September</v>
      </c>
      <c r="F806">
        <f>YEAR(B806)</f>
        <v>2025</v>
      </c>
      <c r="G806" t="s">
        <v>2486</v>
      </c>
      <c r="H806" t="s">
        <v>118</v>
      </c>
      <c r="I806" t="s">
        <v>95</v>
      </c>
      <c r="J806" t="s">
        <v>54</v>
      </c>
      <c r="K806" t="s">
        <v>55</v>
      </c>
      <c r="L806" t="s">
        <v>56</v>
      </c>
      <c r="M806" t="s">
        <v>41</v>
      </c>
      <c r="N806" t="s">
        <v>57</v>
      </c>
      <c r="O806" t="s">
        <v>2487</v>
      </c>
      <c r="P806" t="s">
        <v>59</v>
      </c>
      <c r="Q806">
        <v>1</v>
      </c>
      <c r="R806">
        <v>2050.62</v>
      </c>
      <c r="S806">
        <v>0.05</v>
      </c>
      <c r="T806" s="12">
        <f>S806</f>
        <v>0.05</v>
      </c>
      <c r="U806">
        <v>1948.09</v>
      </c>
      <c r="V806">
        <f>Q806*R806*(1-S806)</f>
        <v>1948.0889999999997</v>
      </c>
      <c r="W806">
        <v>1507.08</v>
      </c>
      <c r="X806">
        <v>441.01</v>
      </c>
      <c r="Y806">
        <f>V806-W806</f>
        <v>441.00899999999979</v>
      </c>
      <c r="Z806" s="12">
        <f>Y806/V806</f>
        <v>0.22638031424642296</v>
      </c>
      <c r="AA806" t="s">
        <v>32</v>
      </c>
      <c r="AB806" t="s">
        <v>33</v>
      </c>
      <c r="AC806" s="14" t="s">
        <v>2794</v>
      </c>
      <c r="AD806" t="s">
        <v>2782</v>
      </c>
      <c r="AE806" t="str">
        <f>PROPER(TRIM(AB806))</f>
        <v>Completed</v>
      </c>
      <c r="AS806" t="str">
        <f t="shared" si="14"/>
        <v/>
      </c>
    </row>
    <row r="807" spans="1:45">
      <c r="A807" t="s">
        <v>2488</v>
      </c>
      <c r="B807" s="7">
        <v>45753</v>
      </c>
      <c r="C807" s="4">
        <v>45754</v>
      </c>
      <c r="D807">
        <f>C807-B807</f>
        <v>1</v>
      </c>
      <c r="E807" t="str">
        <f>TEXT(B807,"mmmm")</f>
        <v>April</v>
      </c>
      <c r="F807">
        <f>YEAR(B807)</f>
        <v>2025</v>
      </c>
      <c r="G807" t="s">
        <v>2353</v>
      </c>
      <c r="H807" t="s">
        <v>114</v>
      </c>
      <c r="I807" t="s">
        <v>95</v>
      </c>
      <c r="J807" t="s">
        <v>38</v>
      </c>
      <c r="K807" t="s">
        <v>166</v>
      </c>
      <c r="L807" t="s">
        <v>167</v>
      </c>
      <c r="M807" t="s">
        <v>28</v>
      </c>
      <c r="N807" t="s">
        <v>153</v>
      </c>
      <c r="O807" t="s">
        <v>2489</v>
      </c>
      <c r="P807" t="s">
        <v>31</v>
      </c>
      <c r="Q807">
        <v>2</v>
      </c>
      <c r="R807">
        <v>2030.06</v>
      </c>
      <c r="S807">
        <v>0.25</v>
      </c>
      <c r="T807" s="12">
        <f>S807</f>
        <v>0.25</v>
      </c>
      <c r="U807">
        <v>3045.09</v>
      </c>
      <c r="V807">
        <f>Q807*R807*(1-S807)</f>
        <v>3045.09</v>
      </c>
      <c r="W807">
        <v>2601.09</v>
      </c>
      <c r="X807">
        <v>444</v>
      </c>
      <c r="Y807">
        <f>V807-W807</f>
        <v>444</v>
      </c>
      <c r="Z807" s="12">
        <f>Y807/V807</f>
        <v>0.14580849827098705</v>
      </c>
      <c r="AA807" t="s">
        <v>32</v>
      </c>
      <c r="AB807" t="s">
        <v>33</v>
      </c>
      <c r="AC807" s="14" t="s">
        <v>2794</v>
      </c>
      <c r="AD807" t="s">
        <v>2782</v>
      </c>
      <c r="AE807" t="str">
        <f>PROPER(TRIM(AB807))</f>
        <v>Completed</v>
      </c>
      <c r="AS807" t="str">
        <f t="shared" si="14"/>
        <v/>
      </c>
    </row>
    <row r="808" spans="1:45">
      <c r="A808" t="s">
        <v>2490</v>
      </c>
      <c r="B808" s="7">
        <v>45605</v>
      </c>
      <c r="C808" s="4">
        <v>45611</v>
      </c>
      <c r="D808">
        <f>C808-B808</f>
        <v>6</v>
      </c>
      <c r="E808" t="str">
        <f>TEXT(B808,"mmmm")</f>
        <v>November</v>
      </c>
      <c r="F808">
        <f>YEAR(B808)</f>
        <v>2024</v>
      </c>
      <c r="G808" t="s">
        <v>2491</v>
      </c>
      <c r="H808" t="s">
        <v>47</v>
      </c>
      <c r="I808" t="s">
        <v>95</v>
      </c>
      <c r="J808" t="s">
        <v>25</v>
      </c>
      <c r="K808" t="s">
        <v>26</v>
      </c>
      <c r="L808" t="s">
        <v>27</v>
      </c>
      <c r="M808" t="s">
        <v>74</v>
      </c>
      <c r="N808" t="s">
        <v>80</v>
      </c>
      <c r="O808" t="s">
        <v>2492</v>
      </c>
      <c r="P808" t="s">
        <v>59</v>
      </c>
      <c r="Q808">
        <v>1</v>
      </c>
      <c r="R808">
        <v>3665.97</v>
      </c>
      <c r="S808">
        <v>0.2</v>
      </c>
      <c r="T808" s="12">
        <f>S808</f>
        <v>0.2</v>
      </c>
      <c r="U808">
        <v>2932.78</v>
      </c>
      <c r="V808">
        <f>Q808*R808*(1-S808)</f>
        <v>2932.7759999999998</v>
      </c>
      <c r="W808">
        <v>1900.35</v>
      </c>
      <c r="X808">
        <v>1032.43</v>
      </c>
      <c r="Y808">
        <f>V808-W808</f>
        <v>1032.4259999999999</v>
      </c>
      <c r="Z808" s="12">
        <f>Y808/V808</f>
        <v>0.35203029484692999</v>
      </c>
      <c r="AA808" t="s">
        <v>155</v>
      </c>
      <c r="AB808" t="s">
        <v>68</v>
      </c>
      <c r="AC808" s="14" t="s">
        <v>2794</v>
      </c>
      <c r="AD808" t="s">
        <v>2782</v>
      </c>
      <c r="AE808" t="str">
        <f>PROPER(TRIM(AB808))</f>
        <v>Cancelled</v>
      </c>
      <c r="AS808" t="str">
        <f t="shared" si="14"/>
        <v/>
      </c>
    </row>
    <row r="809" spans="1:45">
      <c r="A809" t="s">
        <v>2493</v>
      </c>
      <c r="B809" s="7">
        <v>45695</v>
      </c>
      <c r="C809" s="4">
        <v>45696</v>
      </c>
      <c r="D809">
        <f>C809-B809</f>
        <v>1</v>
      </c>
      <c r="E809" t="str">
        <f>TEXT(B809,"mmmm")</f>
        <v>February</v>
      </c>
      <c r="F809">
        <f>YEAR(B809)</f>
        <v>2025</v>
      </c>
      <c r="G809" t="s">
        <v>2494</v>
      </c>
      <c r="H809" t="s">
        <v>23</v>
      </c>
      <c r="I809" t="s">
        <v>37</v>
      </c>
      <c r="J809" t="s">
        <v>54</v>
      </c>
      <c r="K809" t="s">
        <v>55</v>
      </c>
      <c r="L809" t="s">
        <v>56</v>
      </c>
      <c r="M809" t="s">
        <v>28</v>
      </c>
      <c r="N809" t="s">
        <v>91</v>
      </c>
      <c r="O809" t="s">
        <v>2495</v>
      </c>
      <c r="P809" t="s">
        <v>59</v>
      </c>
      <c r="Q809">
        <v>2</v>
      </c>
      <c r="R809">
        <v>2432.98</v>
      </c>
      <c r="S809">
        <v>0.1</v>
      </c>
      <c r="T809" s="12">
        <f>S809</f>
        <v>0.1</v>
      </c>
      <c r="U809">
        <v>4379.3599999999997</v>
      </c>
      <c r="V809">
        <f>Q809*R809*(1-S809)</f>
        <v>4379.3640000000005</v>
      </c>
      <c r="W809">
        <v>3723.93</v>
      </c>
      <c r="X809">
        <v>655.43</v>
      </c>
      <c r="Y809">
        <f>V809-W809</f>
        <v>655.43400000000065</v>
      </c>
      <c r="Z809" s="12">
        <f>Y809/V809</f>
        <v>0.14966419781502532</v>
      </c>
      <c r="AA809" t="s">
        <v>32</v>
      </c>
      <c r="AB809" t="s">
        <v>33</v>
      </c>
      <c r="AC809" s="14" t="s">
        <v>2794</v>
      </c>
      <c r="AD809" t="s">
        <v>2782</v>
      </c>
      <c r="AE809" t="str">
        <f>PROPER(TRIM(AB809))</f>
        <v>Completed</v>
      </c>
      <c r="AS809" t="str">
        <f t="shared" si="14"/>
        <v/>
      </c>
    </row>
    <row r="810" spans="1:45">
      <c r="A810" t="s">
        <v>2496</v>
      </c>
      <c r="B810" s="7">
        <v>45900</v>
      </c>
      <c r="C810" s="4">
        <v>45897</v>
      </c>
      <c r="D810" s="10">
        <f>C810-B810</f>
        <v>-3</v>
      </c>
      <c r="E810" t="str">
        <f>TEXT(B810,"mmmm")</f>
        <v>August</v>
      </c>
      <c r="F810">
        <f>YEAR(B810)</f>
        <v>2025</v>
      </c>
      <c r="G810" t="s">
        <v>2497</v>
      </c>
      <c r="H810" t="s">
        <v>128</v>
      </c>
      <c r="I810" t="s">
        <v>37</v>
      </c>
      <c r="J810" t="s">
        <v>54</v>
      </c>
      <c r="K810" t="s">
        <v>247</v>
      </c>
      <c r="L810" t="s">
        <v>248</v>
      </c>
      <c r="M810" t="s">
        <v>41</v>
      </c>
      <c r="N810" t="s">
        <v>57</v>
      </c>
      <c r="O810" t="s">
        <v>2498</v>
      </c>
      <c r="P810" t="s">
        <v>50</v>
      </c>
      <c r="Q810">
        <v>7</v>
      </c>
      <c r="R810">
        <v>977.28</v>
      </c>
      <c r="S810">
        <v>0.2</v>
      </c>
      <c r="T810" s="12">
        <f>S810</f>
        <v>0.2</v>
      </c>
      <c r="U810">
        <v>5472.77</v>
      </c>
      <c r="V810">
        <f>Q810*R810*(1-S810)</f>
        <v>5472.768</v>
      </c>
      <c r="W810">
        <v>4477.33</v>
      </c>
      <c r="X810">
        <v>995.44</v>
      </c>
      <c r="Y810">
        <f>V810-W810</f>
        <v>995.4380000000001</v>
      </c>
      <c r="Z810" s="12">
        <f>Y810/V810</f>
        <v>0.18188931085695575</v>
      </c>
      <c r="AA810" t="s">
        <v>32</v>
      </c>
      <c r="AB810" t="s">
        <v>33</v>
      </c>
      <c r="AC810" s="10" t="s">
        <v>2792</v>
      </c>
      <c r="AD810" t="s">
        <v>2782</v>
      </c>
      <c r="AE810" t="str">
        <f>PROPER(TRIM(AB810))</f>
        <v>Completed</v>
      </c>
      <c r="AS810" t="str">
        <f t="shared" si="14"/>
        <v/>
      </c>
    </row>
    <row r="811" spans="1:45">
      <c r="A811" t="s">
        <v>2499</v>
      </c>
      <c r="B811" s="7">
        <v>45833</v>
      </c>
      <c r="C811" s="4">
        <v>45833</v>
      </c>
      <c r="D811">
        <f>C811-B811</f>
        <v>0</v>
      </c>
      <c r="E811" t="str">
        <f>TEXT(B811,"mmmm")</f>
        <v>June</v>
      </c>
      <c r="F811">
        <f>YEAR(B811)</f>
        <v>2025</v>
      </c>
      <c r="G811" t="s">
        <v>2500</v>
      </c>
      <c r="H811" t="s">
        <v>53</v>
      </c>
      <c r="I811" t="s">
        <v>37</v>
      </c>
      <c r="J811" t="s">
        <v>2783</v>
      </c>
      <c r="K811" t="s">
        <v>122</v>
      </c>
      <c r="L811" t="s">
        <v>123</v>
      </c>
      <c r="M811" t="s">
        <v>28</v>
      </c>
      <c r="N811" t="s">
        <v>153</v>
      </c>
      <c r="O811" t="s">
        <v>2501</v>
      </c>
      <c r="P811" t="s">
        <v>31</v>
      </c>
      <c r="Q811">
        <v>6</v>
      </c>
      <c r="R811">
        <v>1366.13</v>
      </c>
      <c r="S811">
        <v>0.1</v>
      </c>
      <c r="T811" s="12">
        <f>S811</f>
        <v>0.1</v>
      </c>
      <c r="U811">
        <v>7377.1</v>
      </c>
      <c r="V811">
        <f>Q811*R811*(1-S811)</f>
        <v>7377.1020000000008</v>
      </c>
      <c r="W811">
        <v>5085.21</v>
      </c>
      <c r="X811">
        <v>2291.89</v>
      </c>
      <c r="Y811">
        <f>V811-W811</f>
        <v>2291.8920000000007</v>
      </c>
      <c r="Z811" s="12">
        <f>Y811/V811</f>
        <v>0.31067646888981615</v>
      </c>
      <c r="AA811" t="s">
        <v>32</v>
      </c>
      <c r="AB811" t="s">
        <v>33</v>
      </c>
      <c r="AC811" s="10" t="s">
        <v>2796</v>
      </c>
      <c r="AD811" t="s">
        <v>2782</v>
      </c>
      <c r="AE811" t="str">
        <f>PROPER(TRIM(AB811))</f>
        <v>Completed</v>
      </c>
      <c r="AS811" t="str">
        <f t="shared" si="14"/>
        <v/>
      </c>
    </row>
    <row r="812" spans="1:45">
      <c r="A812" t="s">
        <v>2502</v>
      </c>
      <c r="B812" s="7">
        <v>45355</v>
      </c>
      <c r="C812" s="4">
        <v>45390</v>
      </c>
      <c r="D812">
        <f>C812-B812</f>
        <v>35</v>
      </c>
      <c r="E812" t="str">
        <f>TEXT(B812,"mmmm")</f>
        <v>March</v>
      </c>
      <c r="F812">
        <f>YEAR(B812)</f>
        <v>2024</v>
      </c>
      <c r="G812" t="s">
        <v>1666</v>
      </c>
      <c r="H812" t="s">
        <v>264</v>
      </c>
      <c r="I812" t="s">
        <v>95</v>
      </c>
      <c r="J812" t="s">
        <v>63</v>
      </c>
      <c r="K812" t="s">
        <v>180</v>
      </c>
      <c r="L812" t="s">
        <v>181</v>
      </c>
      <c r="M812" t="s">
        <v>74</v>
      </c>
      <c r="N812" t="s">
        <v>80</v>
      </c>
      <c r="O812" t="s">
        <v>2503</v>
      </c>
      <c r="P812" t="s">
        <v>50</v>
      </c>
      <c r="Q812">
        <v>1</v>
      </c>
      <c r="R812">
        <v>3151.85</v>
      </c>
      <c r="S812">
        <v>0.25</v>
      </c>
      <c r="T812" s="12">
        <f>S812</f>
        <v>0.25</v>
      </c>
      <c r="U812">
        <v>2363.89</v>
      </c>
      <c r="V812">
        <f>Q812*R812*(1-S812)</f>
        <v>2363.8874999999998</v>
      </c>
      <c r="W812">
        <v>1471.51</v>
      </c>
      <c r="X812">
        <v>892.38</v>
      </c>
      <c r="Y812">
        <f>V812-W812</f>
        <v>892.37749999999983</v>
      </c>
      <c r="Z812" s="12">
        <f>Y812/V812</f>
        <v>0.37750421710000998</v>
      </c>
      <c r="AA812" t="s">
        <v>32</v>
      </c>
      <c r="AB812" t="s">
        <v>33</v>
      </c>
      <c r="AC812" s="14" t="s">
        <v>2794</v>
      </c>
      <c r="AD812" t="s">
        <v>2782</v>
      </c>
      <c r="AE812" t="str">
        <f>PROPER(TRIM(AB812))</f>
        <v>Completed</v>
      </c>
      <c r="AS812" t="str">
        <f t="shared" si="14"/>
        <v/>
      </c>
    </row>
    <row r="813" spans="1:45">
      <c r="A813" t="s">
        <v>2504</v>
      </c>
      <c r="B813" s="7">
        <v>45638</v>
      </c>
      <c r="C813" s="4">
        <v>45645</v>
      </c>
      <c r="D813">
        <f>C813-B813</f>
        <v>7</v>
      </c>
      <c r="E813" t="str">
        <f>TEXT(B813,"mmmm")</f>
        <v>December</v>
      </c>
      <c r="F813">
        <f>YEAR(B813)</f>
        <v>2024</v>
      </c>
      <c r="G813" t="s">
        <v>2505</v>
      </c>
      <c r="H813" t="s">
        <v>141</v>
      </c>
      <c r="I813" t="s">
        <v>95</v>
      </c>
      <c r="J813" t="s">
        <v>25</v>
      </c>
      <c r="K813" t="s">
        <v>236</v>
      </c>
      <c r="L813" t="s">
        <v>237</v>
      </c>
      <c r="M813" t="s">
        <v>74</v>
      </c>
      <c r="N813" t="s">
        <v>75</v>
      </c>
      <c r="O813" t="s">
        <v>2506</v>
      </c>
      <c r="P813" t="s">
        <v>50</v>
      </c>
      <c r="Q813">
        <v>2</v>
      </c>
      <c r="R813">
        <v>1610.75</v>
      </c>
      <c r="S813">
        <v>0.2</v>
      </c>
      <c r="T813" s="12">
        <f>S813</f>
        <v>0.2</v>
      </c>
      <c r="U813">
        <v>2577.1999999999998</v>
      </c>
      <c r="V813">
        <f>Q813*R813*(1-S813)</f>
        <v>2577.2000000000003</v>
      </c>
      <c r="W813">
        <v>1475.87</v>
      </c>
      <c r="X813">
        <v>1101.33</v>
      </c>
      <c r="Y813">
        <f>V813-W813</f>
        <v>1101.3300000000004</v>
      </c>
      <c r="Z813" s="12">
        <f>Y813/V813</f>
        <v>0.42733586838429316</v>
      </c>
      <c r="AA813" t="s">
        <v>32</v>
      </c>
      <c r="AB813" t="s">
        <v>33</v>
      </c>
      <c r="AC813" s="14" t="s">
        <v>2794</v>
      </c>
      <c r="AD813" t="s">
        <v>2782</v>
      </c>
      <c r="AE813" t="str">
        <f>PROPER(TRIM(AB813))</f>
        <v>Completed</v>
      </c>
      <c r="AS813" t="str">
        <f t="shared" si="14"/>
        <v/>
      </c>
    </row>
    <row r="814" spans="1:45">
      <c r="A814" t="s">
        <v>2507</v>
      </c>
      <c r="B814" s="7">
        <v>45458</v>
      </c>
      <c r="C814" s="4">
        <v>45463</v>
      </c>
      <c r="D814">
        <f>C814-B814</f>
        <v>5</v>
      </c>
      <c r="E814" t="str">
        <f>TEXT(B814,"mmmm")</f>
        <v>June</v>
      </c>
      <c r="F814">
        <f>YEAR(B814)</f>
        <v>2024</v>
      </c>
      <c r="G814" t="s">
        <v>2508</v>
      </c>
      <c r="H814" t="s">
        <v>132</v>
      </c>
      <c r="I814" t="s">
        <v>37</v>
      </c>
      <c r="J814" t="s">
        <v>38</v>
      </c>
      <c r="K814" t="s">
        <v>228</v>
      </c>
      <c r="L814" t="s">
        <v>229</v>
      </c>
      <c r="M814" t="s">
        <v>41</v>
      </c>
      <c r="N814" t="s">
        <v>42</v>
      </c>
      <c r="O814" t="s">
        <v>2509</v>
      </c>
      <c r="P814" t="s">
        <v>50</v>
      </c>
      <c r="Q814">
        <v>8</v>
      </c>
      <c r="R814">
        <v>2228.4699999999998</v>
      </c>
      <c r="S814">
        <v>0</v>
      </c>
      <c r="T814" s="12">
        <f>S814</f>
        <v>0</v>
      </c>
      <c r="U814">
        <v>17827.759999999998</v>
      </c>
      <c r="V814">
        <f>Q814*R814*(1-S814)</f>
        <v>17827.759999999998</v>
      </c>
      <c r="W814">
        <v>14122.13</v>
      </c>
      <c r="X814">
        <v>3705.63</v>
      </c>
      <c r="Y814">
        <f>V814-W814</f>
        <v>3705.6299999999992</v>
      </c>
      <c r="Z814" s="12">
        <f>Y814/V814</f>
        <v>0.20785729671029896</v>
      </c>
      <c r="AA814" t="s">
        <v>32</v>
      </c>
      <c r="AB814" t="s">
        <v>33</v>
      </c>
      <c r="AC814" s="14" t="s">
        <v>2794</v>
      </c>
      <c r="AD814" t="s">
        <v>2782</v>
      </c>
      <c r="AE814" t="str">
        <f>PROPER(TRIM(AB814))</f>
        <v>Completed</v>
      </c>
      <c r="AS814" t="str">
        <f t="shared" si="14"/>
        <v/>
      </c>
    </row>
    <row r="815" spans="1:45">
      <c r="A815" t="s">
        <v>2510</v>
      </c>
      <c r="B815" s="7">
        <v>45812</v>
      </c>
      <c r="C815" s="4">
        <v>45757</v>
      </c>
      <c r="D815" s="10">
        <f>C815-B815</f>
        <v>-55</v>
      </c>
      <c r="E815" t="str">
        <f>TEXT(B815,"mmmm")</f>
        <v>June</v>
      </c>
      <c r="F815">
        <f>YEAR(B815)</f>
        <v>2025</v>
      </c>
      <c r="G815" t="s">
        <v>2511</v>
      </c>
      <c r="H815" t="s">
        <v>141</v>
      </c>
      <c r="I815" t="s">
        <v>24</v>
      </c>
      <c r="J815" t="s">
        <v>38</v>
      </c>
      <c r="K815" t="s">
        <v>39</v>
      </c>
      <c r="L815" t="s">
        <v>40</v>
      </c>
      <c r="M815" t="s">
        <v>41</v>
      </c>
      <c r="N815" t="s">
        <v>158</v>
      </c>
      <c r="O815" t="s">
        <v>1121</v>
      </c>
      <c r="P815" t="s">
        <v>59</v>
      </c>
      <c r="Q815">
        <v>2</v>
      </c>
      <c r="R815">
        <v>1337.67</v>
      </c>
      <c r="S815">
        <v>0</v>
      </c>
      <c r="T815" s="12">
        <f>S815</f>
        <v>0</v>
      </c>
      <c r="U815">
        <v>2675.34</v>
      </c>
      <c r="V815">
        <f>Q815*R815*(1-S815)</f>
        <v>2675.34</v>
      </c>
      <c r="W815">
        <v>1595.87</v>
      </c>
      <c r="X815">
        <v>1079.47</v>
      </c>
      <c r="Y815">
        <f>V815-W815</f>
        <v>1079.4700000000003</v>
      </c>
      <c r="Z815" s="12">
        <f>Y815/V815</f>
        <v>0.40348890234512258</v>
      </c>
      <c r="AA815" t="s">
        <v>32</v>
      </c>
      <c r="AB815" t="s">
        <v>33</v>
      </c>
      <c r="AC815" s="10" t="s">
        <v>2792</v>
      </c>
      <c r="AD815" t="s">
        <v>2782</v>
      </c>
      <c r="AE815" t="str">
        <f>PROPER(TRIM(AB815))</f>
        <v>Completed</v>
      </c>
      <c r="AS815" t="str">
        <f t="shared" si="14"/>
        <v/>
      </c>
    </row>
    <row r="816" spans="1:45">
      <c r="A816" t="s">
        <v>2512</v>
      </c>
      <c r="B816" s="7">
        <v>45875</v>
      </c>
      <c r="C816" s="4">
        <v>45880</v>
      </c>
      <c r="D816">
        <f>C816-B816</f>
        <v>5</v>
      </c>
      <c r="E816" t="str">
        <f>TEXT(B816,"mmmm")</f>
        <v>August</v>
      </c>
      <c r="F816">
        <f>YEAR(B816)</f>
        <v>2025</v>
      </c>
      <c r="G816" t="s">
        <v>2513</v>
      </c>
      <c r="H816" t="s">
        <v>53</v>
      </c>
      <c r="I816" t="s">
        <v>24</v>
      </c>
      <c r="J816" t="s">
        <v>63</v>
      </c>
      <c r="K816" t="s">
        <v>72</v>
      </c>
      <c r="L816" t="s">
        <v>73</v>
      </c>
      <c r="M816" t="s">
        <v>28</v>
      </c>
      <c r="N816" t="s">
        <v>91</v>
      </c>
      <c r="O816" t="s">
        <v>2514</v>
      </c>
      <c r="P816" t="s">
        <v>50</v>
      </c>
      <c r="Q816">
        <v>2</v>
      </c>
      <c r="R816">
        <v>2375.94</v>
      </c>
      <c r="S816">
        <v>0.25</v>
      </c>
      <c r="T816" s="12">
        <f>S816</f>
        <v>0.25</v>
      </c>
      <c r="U816">
        <v>3563.91</v>
      </c>
      <c r="V816">
        <f>Q816*R816*(1-S816)</f>
        <v>3563.91</v>
      </c>
      <c r="W816">
        <v>2639.7</v>
      </c>
      <c r="X816">
        <v>924.21</v>
      </c>
      <c r="Y816">
        <f>V816-W816</f>
        <v>924.21</v>
      </c>
      <c r="Z816" s="12">
        <f>Y816/V816</f>
        <v>0.25932473042248544</v>
      </c>
      <c r="AA816" t="s">
        <v>32</v>
      </c>
      <c r="AB816" t="s">
        <v>33</v>
      </c>
      <c r="AC816" s="14" t="s">
        <v>2794</v>
      </c>
      <c r="AD816" t="s">
        <v>2782</v>
      </c>
      <c r="AE816" t="str">
        <f>PROPER(TRIM(AB816))</f>
        <v>Completed</v>
      </c>
      <c r="AS816" t="str">
        <f t="shared" si="14"/>
        <v/>
      </c>
    </row>
    <row r="817" spans="1:45">
      <c r="A817" t="s">
        <v>2515</v>
      </c>
      <c r="B817" s="7">
        <v>45295</v>
      </c>
      <c r="C817" s="4">
        <v>45390</v>
      </c>
      <c r="D817">
        <f>C817-B817</f>
        <v>95</v>
      </c>
      <c r="E817" t="str">
        <f>TEXT(B817,"mmmm")</f>
        <v>January</v>
      </c>
      <c r="F817">
        <f>YEAR(B817)</f>
        <v>2024</v>
      </c>
      <c r="G817" t="s">
        <v>2516</v>
      </c>
      <c r="H817" t="s">
        <v>162</v>
      </c>
      <c r="I817" t="s">
        <v>24</v>
      </c>
      <c r="J817" t="s">
        <v>38</v>
      </c>
      <c r="K817" t="s">
        <v>39</v>
      </c>
      <c r="L817" t="s">
        <v>40</v>
      </c>
      <c r="M817" t="s">
        <v>74</v>
      </c>
      <c r="N817" t="s">
        <v>274</v>
      </c>
      <c r="O817" t="s">
        <v>2517</v>
      </c>
      <c r="P817" t="s">
        <v>59</v>
      </c>
      <c r="Q817">
        <v>7</v>
      </c>
      <c r="R817">
        <v>715.81</v>
      </c>
      <c r="S817">
        <v>0.15</v>
      </c>
      <c r="T817" s="12">
        <f>S817</f>
        <v>0.15</v>
      </c>
      <c r="U817">
        <v>4259.07</v>
      </c>
      <c r="V817">
        <f>Q817*R817*(1-S817)</f>
        <v>4259.0694999999996</v>
      </c>
      <c r="W817">
        <v>3130.32</v>
      </c>
      <c r="X817">
        <v>1128.75</v>
      </c>
      <c r="Y817">
        <f>V817-W817</f>
        <v>1128.7494999999994</v>
      </c>
      <c r="Z817" s="12">
        <f>Y817/V817</f>
        <v>0.26502255950507486</v>
      </c>
      <c r="AA817" t="s">
        <v>111</v>
      </c>
      <c r="AB817" t="s">
        <v>68</v>
      </c>
      <c r="AC817" s="14" t="s">
        <v>2794</v>
      </c>
      <c r="AD817" t="s">
        <v>2782</v>
      </c>
      <c r="AE817" t="str">
        <f>PROPER(TRIM(AB817))</f>
        <v>Cancelled</v>
      </c>
      <c r="AS817" t="str">
        <f t="shared" si="14"/>
        <v/>
      </c>
    </row>
    <row r="818" spans="1:45">
      <c r="A818" t="s">
        <v>2518</v>
      </c>
      <c r="B818" s="7">
        <v>45623</v>
      </c>
      <c r="C818" s="4">
        <v>45626</v>
      </c>
      <c r="D818">
        <f>C818-B818</f>
        <v>3</v>
      </c>
      <c r="E818" t="str">
        <f>TEXT(B818,"mmmm")</f>
        <v>November</v>
      </c>
      <c r="F818">
        <f>YEAR(B818)</f>
        <v>2024</v>
      </c>
      <c r="G818" t="s">
        <v>2519</v>
      </c>
      <c r="H818" t="s">
        <v>118</v>
      </c>
      <c r="I818" t="s">
        <v>37</v>
      </c>
      <c r="J818" t="s">
        <v>38</v>
      </c>
      <c r="K818" t="s">
        <v>228</v>
      </c>
      <c r="L818" t="s">
        <v>229</v>
      </c>
      <c r="M818" t="s">
        <v>41</v>
      </c>
      <c r="N818" t="s">
        <v>57</v>
      </c>
      <c r="O818" t="s">
        <v>2520</v>
      </c>
      <c r="P818" t="s">
        <v>50</v>
      </c>
      <c r="Q818">
        <v>1</v>
      </c>
      <c r="R818">
        <v>874.3</v>
      </c>
      <c r="S818">
        <v>0.1</v>
      </c>
      <c r="T818" s="12">
        <f>S818</f>
        <v>0.1</v>
      </c>
      <c r="U818">
        <v>786.87</v>
      </c>
      <c r="V818">
        <f>Q818*R818*(1-S818)</f>
        <v>786.87</v>
      </c>
      <c r="W818">
        <v>498.5</v>
      </c>
      <c r="X818">
        <v>288.37</v>
      </c>
      <c r="Y818">
        <f>V818-W818</f>
        <v>288.37</v>
      </c>
      <c r="Z818" s="12">
        <f>Y818/V818</f>
        <v>0.36647730883119195</v>
      </c>
      <c r="AA818" t="s">
        <v>32</v>
      </c>
      <c r="AB818" t="s">
        <v>33</v>
      </c>
      <c r="AC818" s="14" t="s">
        <v>2794</v>
      </c>
      <c r="AD818" t="s">
        <v>2782</v>
      </c>
      <c r="AE818" t="str">
        <f>PROPER(TRIM(AB818))</f>
        <v>Completed</v>
      </c>
      <c r="AS818" t="str">
        <f t="shared" si="14"/>
        <v/>
      </c>
    </row>
    <row r="819" spans="1:45">
      <c r="A819" t="s">
        <v>2521</v>
      </c>
      <c r="B819" s="7">
        <v>45752</v>
      </c>
      <c r="C819" s="4">
        <v>45781</v>
      </c>
      <c r="D819">
        <f>C819-B819</f>
        <v>29</v>
      </c>
      <c r="E819" t="str">
        <f>TEXT(B819,"mmmm")</f>
        <v>April</v>
      </c>
      <c r="F819">
        <f>YEAR(B819)</f>
        <v>2025</v>
      </c>
      <c r="G819" t="s">
        <v>2522</v>
      </c>
      <c r="H819" t="s">
        <v>132</v>
      </c>
      <c r="I819" t="s">
        <v>24</v>
      </c>
      <c r="J819" t="s">
        <v>38</v>
      </c>
      <c r="K819" t="s">
        <v>145</v>
      </c>
      <c r="L819" t="s">
        <v>146</v>
      </c>
      <c r="M819" t="s">
        <v>28</v>
      </c>
      <c r="N819" t="s">
        <v>153</v>
      </c>
      <c r="O819" t="s">
        <v>2523</v>
      </c>
      <c r="P819" t="s">
        <v>59</v>
      </c>
      <c r="Q819">
        <v>6</v>
      </c>
      <c r="R819">
        <v>1829.69</v>
      </c>
      <c r="S819">
        <v>0.25</v>
      </c>
      <c r="T819" s="12">
        <f>S819</f>
        <v>0.25</v>
      </c>
      <c r="U819">
        <v>8233.6</v>
      </c>
      <c r="V819">
        <f>Q819*R819*(1-S819)</f>
        <v>8233.6049999999996</v>
      </c>
      <c r="W819">
        <v>4713.79</v>
      </c>
      <c r="X819">
        <v>3519.81</v>
      </c>
      <c r="Y819">
        <f>V819-W819</f>
        <v>3519.8149999999996</v>
      </c>
      <c r="Z819" s="12">
        <f>Y819/V819</f>
        <v>0.42749378917254349</v>
      </c>
      <c r="AA819" t="s">
        <v>32</v>
      </c>
      <c r="AB819" t="s">
        <v>33</v>
      </c>
      <c r="AC819" s="14" t="s">
        <v>2794</v>
      </c>
      <c r="AD819" t="s">
        <v>2782</v>
      </c>
      <c r="AE819" t="str">
        <f>PROPER(TRIM(AB819))</f>
        <v>Completed</v>
      </c>
      <c r="AS819" t="str">
        <f t="shared" si="14"/>
        <v/>
      </c>
    </row>
    <row r="820" spans="1:45">
      <c r="A820" t="s">
        <v>2524</v>
      </c>
      <c r="B820" s="7">
        <v>45564</v>
      </c>
      <c r="C820" s="4">
        <v>45570</v>
      </c>
      <c r="D820">
        <f>C820-B820</f>
        <v>6</v>
      </c>
      <c r="E820" t="str">
        <f>TEXT(B820,"mmmm")</f>
        <v>September</v>
      </c>
      <c r="F820">
        <f>YEAR(B820)</f>
        <v>2024</v>
      </c>
      <c r="G820" t="s">
        <v>2525</v>
      </c>
      <c r="H820" t="s">
        <v>114</v>
      </c>
      <c r="I820" t="s">
        <v>37</v>
      </c>
      <c r="J820" t="s">
        <v>63</v>
      </c>
      <c r="K820" t="s">
        <v>64</v>
      </c>
      <c r="L820" t="s">
        <v>65</v>
      </c>
      <c r="M820" t="s">
        <v>28</v>
      </c>
      <c r="N820" t="s">
        <v>91</v>
      </c>
      <c r="O820" t="s">
        <v>2526</v>
      </c>
      <c r="P820" t="s">
        <v>50</v>
      </c>
      <c r="Q820">
        <v>8</v>
      </c>
      <c r="R820">
        <v>1981.04</v>
      </c>
      <c r="S820">
        <v>-0.14000000000000001</v>
      </c>
      <c r="T820" s="13">
        <f>S820</f>
        <v>-0.14000000000000001</v>
      </c>
      <c r="U820">
        <v>12678.66</v>
      </c>
      <c r="V820">
        <f>Q820*R820*(1-S820)</f>
        <v>18067.084800000001</v>
      </c>
      <c r="W820">
        <v>10088.65</v>
      </c>
      <c r="X820">
        <v>2590.0100000000002</v>
      </c>
      <c r="Y820">
        <f>V820-W820</f>
        <v>7978.4348000000009</v>
      </c>
      <c r="Z820" s="12">
        <f>Y820/V820</f>
        <v>0.44160056192352631</v>
      </c>
      <c r="AA820" t="s">
        <v>32</v>
      </c>
      <c r="AB820" t="s">
        <v>33</v>
      </c>
      <c r="AC820" s="10" t="s">
        <v>2793</v>
      </c>
      <c r="AD820" t="s">
        <v>2782</v>
      </c>
      <c r="AE820" t="str">
        <f>PROPER(TRIM(AB820))</f>
        <v>Completed</v>
      </c>
      <c r="AS820" t="str">
        <f t="shared" si="14"/>
        <v/>
      </c>
    </row>
    <row r="821" spans="1:45">
      <c r="A821" t="s">
        <v>2527</v>
      </c>
      <c r="B821" s="7">
        <v>45504</v>
      </c>
      <c r="C821" s="4">
        <v>45504</v>
      </c>
      <c r="D821">
        <f>C821-B821</f>
        <v>0</v>
      </c>
      <c r="E821" t="str">
        <f>TEXT(B821,"mmmm")</f>
        <v>July</v>
      </c>
      <c r="F821">
        <f>YEAR(B821)</f>
        <v>2024</v>
      </c>
      <c r="G821" t="s">
        <v>2528</v>
      </c>
      <c r="H821" t="s">
        <v>23</v>
      </c>
      <c r="I821" t="s">
        <v>95</v>
      </c>
      <c r="J821" t="s">
        <v>54</v>
      </c>
      <c r="K821" t="s">
        <v>185</v>
      </c>
      <c r="L821" t="s">
        <v>186</v>
      </c>
      <c r="M821" t="s">
        <v>74</v>
      </c>
      <c r="N821" t="s">
        <v>274</v>
      </c>
      <c r="O821" t="s">
        <v>2529</v>
      </c>
      <c r="P821" t="s">
        <v>59</v>
      </c>
      <c r="Q821">
        <v>8</v>
      </c>
      <c r="R821">
        <v>4246.01</v>
      </c>
      <c r="S821">
        <v>0</v>
      </c>
      <c r="T821" s="12">
        <f>S821</f>
        <v>0</v>
      </c>
      <c r="U821">
        <v>33968.080000000002</v>
      </c>
      <c r="V821">
        <f>Q821*R821*(1-S821)</f>
        <v>33968.080000000002</v>
      </c>
      <c r="W821">
        <v>26902.44</v>
      </c>
      <c r="X821">
        <v>7065.64</v>
      </c>
      <c r="Y821">
        <f>V821-W821</f>
        <v>7065.6400000000031</v>
      </c>
      <c r="Z821" s="12">
        <f>Y821/V821</f>
        <v>0.20800822419165294</v>
      </c>
      <c r="AA821" t="s">
        <v>155</v>
      </c>
      <c r="AB821" t="s">
        <v>68</v>
      </c>
      <c r="AC821" s="14" t="s">
        <v>2794</v>
      </c>
      <c r="AD821" t="s">
        <v>2782</v>
      </c>
      <c r="AE821" t="str">
        <f>PROPER(TRIM(AB821))</f>
        <v>Cancelled</v>
      </c>
      <c r="AS821" t="str">
        <f t="shared" si="14"/>
        <v/>
      </c>
    </row>
    <row r="822" spans="1:45">
      <c r="A822" t="s">
        <v>2530</v>
      </c>
      <c r="B822" s="7">
        <v>45694</v>
      </c>
      <c r="C822" s="4">
        <v>45698</v>
      </c>
      <c r="D822">
        <f>C822-B822</f>
        <v>4</v>
      </c>
      <c r="E822" t="str">
        <f>TEXT(B822,"mmmm")</f>
        <v>February</v>
      </c>
      <c r="F822">
        <f>YEAR(B822)</f>
        <v>2025</v>
      </c>
      <c r="G822" t="s">
        <v>2531</v>
      </c>
      <c r="H822" t="s">
        <v>62</v>
      </c>
      <c r="I822" t="s">
        <v>95</v>
      </c>
      <c r="J822" t="s">
        <v>25</v>
      </c>
      <c r="K822" t="s">
        <v>136</v>
      </c>
      <c r="L822" t="s">
        <v>137</v>
      </c>
      <c r="M822" t="s">
        <v>41</v>
      </c>
      <c r="N822" t="s">
        <v>158</v>
      </c>
      <c r="O822" t="s">
        <v>2532</v>
      </c>
      <c r="P822" t="s">
        <v>59</v>
      </c>
      <c r="Q822">
        <v>2</v>
      </c>
      <c r="R822">
        <v>319.57</v>
      </c>
      <c r="S822">
        <v>0.2</v>
      </c>
      <c r="T822" s="12">
        <f>S822</f>
        <v>0.2</v>
      </c>
      <c r="U822">
        <v>511.31</v>
      </c>
      <c r="V822">
        <f>Q822*R822*(1-S822)</f>
        <v>511.31200000000001</v>
      </c>
      <c r="W822">
        <v>436.43</v>
      </c>
      <c r="X822">
        <v>74.88</v>
      </c>
      <c r="Y822">
        <f>V822-W822</f>
        <v>74.882000000000005</v>
      </c>
      <c r="Z822" s="12">
        <f>Y822/V822</f>
        <v>0.14645069937728825</v>
      </c>
      <c r="AA822" t="s">
        <v>32</v>
      </c>
      <c r="AB822" t="s">
        <v>33</v>
      </c>
      <c r="AC822" s="14" t="s">
        <v>2794</v>
      </c>
      <c r="AD822" t="s">
        <v>2782</v>
      </c>
      <c r="AE822" t="str">
        <f>PROPER(TRIM(AB822))</f>
        <v>Completed</v>
      </c>
      <c r="AS822" t="str">
        <f t="shared" si="14"/>
        <v/>
      </c>
    </row>
    <row r="823" spans="1:45">
      <c r="A823" t="s">
        <v>2533</v>
      </c>
      <c r="B823" s="7">
        <v>45476</v>
      </c>
      <c r="C823" s="4">
        <v>45479</v>
      </c>
      <c r="D823">
        <f>C823-B823</f>
        <v>3</v>
      </c>
      <c r="E823" t="str">
        <f>TEXT(B823,"mmmm")</f>
        <v>July</v>
      </c>
      <c r="F823">
        <f>YEAR(B823)</f>
        <v>2024</v>
      </c>
      <c r="G823" t="s">
        <v>2534</v>
      </c>
      <c r="H823" t="s">
        <v>128</v>
      </c>
      <c r="I823" t="s">
        <v>90</v>
      </c>
      <c r="J823" t="s">
        <v>54</v>
      </c>
      <c r="K823" t="s">
        <v>175</v>
      </c>
      <c r="L823" t="s">
        <v>176</v>
      </c>
      <c r="M823" t="s">
        <v>74</v>
      </c>
      <c r="N823" t="s">
        <v>75</v>
      </c>
      <c r="O823" t="s">
        <v>2535</v>
      </c>
      <c r="P823" t="s">
        <v>50</v>
      </c>
      <c r="Q823">
        <v>7</v>
      </c>
      <c r="R823">
        <v>1942.49</v>
      </c>
      <c r="S823">
        <v>0.2</v>
      </c>
      <c r="T823" s="12">
        <f>S823</f>
        <v>0.2</v>
      </c>
      <c r="U823">
        <v>10877.94</v>
      </c>
      <c r="V823">
        <f>Q823*R823*(1-S823)</f>
        <v>10877.944000000001</v>
      </c>
      <c r="W823">
        <v>9110.14</v>
      </c>
      <c r="X823">
        <v>1767.8</v>
      </c>
      <c r="Y823">
        <f>V823-W823</f>
        <v>1767.8040000000019</v>
      </c>
      <c r="Z823" s="12">
        <f>Y823/V823</f>
        <v>0.16251269541376584</v>
      </c>
      <c r="AA823" t="s">
        <v>32</v>
      </c>
      <c r="AB823" t="s">
        <v>33</v>
      </c>
      <c r="AC823" s="14" t="s">
        <v>2794</v>
      </c>
      <c r="AD823" t="s">
        <v>2782</v>
      </c>
      <c r="AE823" t="str">
        <f>PROPER(TRIM(AB823))</f>
        <v>Completed</v>
      </c>
      <c r="AS823" t="str">
        <f t="shared" si="14"/>
        <v/>
      </c>
    </row>
    <row r="824" spans="1:45">
      <c r="A824" t="s">
        <v>2536</v>
      </c>
      <c r="B824" s="7">
        <v>45636</v>
      </c>
      <c r="C824" s="4">
        <v>45573</v>
      </c>
      <c r="D824" s="10">
        <f>C824-B824</f>
        <v>-63</v>
      </c>
      <c r="E824" t="str">
        <f>TEXT(B824,"mmmm")</f>
        <v>December</v>
      </c>
      <c r="F824">
        <f>YEAR(B824)</f>
        <v>2024</v>
      </c>
      <c r="G824" t="s">
        <v>2537</v>
      </c>
      <c r="H824" t="s">
        <v>36</v>
      </c>
      <c r="I824" t="s">
        <v>90</v>
      </c>
      <c r="J824" t="s">
        <v>38</v>
      </c>
      <c r="K824" t="s">
        <v>166</v>
      </c>
      <c r="L824" t="s">
        <v>167</v>
      </c>
      <c r="M824" t="s">
        <v>41</v>
      </c>
      <c r="N824" t="s">
        <v>57</v>
      </c>
      <c r="O824" t="s">
        <v>2538</v>
      </c>
      <c r="P824" t="s">
        <v>31</v>
      </c>
      <c r="Q824">
        <v>4</v>
      </c>
      <c r="R824">
        <v>3202.04</v>
      </c>
      <c r="S824">
        <v>0.2</v>
      </c>
      <c r="T824" s="12">
        <f>S824</f>
        <v>0.2</v>
      </c>
      <c r="U824">
        <v>10246.530000000001</v>
      </c>
      <c r="V824">
        <f>Q824*R824*(1-S824)</f>
        <v>10246.528</v>
      </c>
      <c r="W824">
        <v>8634.42</v>
      </c>
      <c r="X824">
        <v>1612.11</v>
      </c>
      <c r="Y824">
        <f>V824-W824</f>
        <v>1612.1080000000002</v>
      </c>
      <c r="Z824" s="12">
        <f>Y824/V824</f>
        <v>0.15733212264681268</v>
      </c>
      <c r="AA824" t="s">
        <v>111</v>
      </c>
      <c r="AB824" t="s">
        <v>103</v>
      </c>
      <c r="AC824" s="10" t="s">
        <v>2792</v>
      </c>
      <c r="AD824" t="s">
        <v>2782</v>
      </c>
      <c r="AE824" t="str">
        <f>PROPER(TRIM(AB824))</f>
        <v>Returned</v>
      </c>
      <c r="AS824" t="str">
        <f t="shared" si="14"/>
        <v/>
      </c>
    </row>
    <row r="825" spans="1:45">
      <c r="A825" t="s">
        <v>2539</v>
      </c>
      <c r="B825" s="7">
        <v>45663</v>
      </c>
      <c r="C825" s="4">
        <v>45669</v>
      </c>
      <c r="D825">
        <f>C825-B825</f>
        <v>6</v>
      </c>
      <c r="E825" t="str">
        <f>TEXT(B825,"mmmm")</f>
        <v>January</v>
      </c>
      <c r="F825">
        <f>YEAR(B825)</f>
        <v>2025</v>
      </c>
      <c r="G825" t="s">
        <v>2540</v>
      </c>
      <c r="H825" t="s">
        <v>36</v>
      </c>
      <c r="I825" t="s">
        <v>95</v>
      </c>
      <c r="J825" t="s">
        <v>63</v>
      </c>
      <c r="K825" t="s">
        <v>190</v>
      </c>
      <c r="L825" t="s">
        <v>191</v>
      </c>
      <c r="M825" t="s">
        <v>28</v>
      </c>
      <c r="N825" t="s">
        <v>29</v>
      </c>
      <c r="O825" t="s">
        <v>2541</v>
      </c>
      <c r="P825" t="s">
        <v>44</v>
      </c>
      <c r="Q825">
        <v>3</v>
      </c>
      <c r="R825">
        <v>668.33</v>
      </c>
      <c r="S825">
        <v>0.15</v>
      </c>
      <c r="T825" s="12">
        <f>S825</f>
        <v>0.15</v>
      </c>
      <c r="U825">
        <v>1704.24</v>
      </c>
      <c r="V825">
        <f>Q825*R825*(1-S825)</f>
        <v>1704.2415000000001</v>
      </c>
      <c r="W825">
        <v>957.55</v>
      </c>
      <c r="X825">
        <v>746.69</v>
      </c>
      <c r="Y825">
        <f>V825-W825</f>
        <v>746.69150000000013</v>
      </c>
      <c r="Z825" s="12">
        <f>Y825/V825</f>
        <v>0.43813714194848563</v>
      </c>
      <c r="AA825" t="s">
        <v>32</v>
      </c>
      <c r="AB825" t="s">
        <v>33</v>
      </c>
      <c r="AC825" s="14" t="s">
        <v>2794</v>
      </c>
      <c r="AD825" t="s">
        <v>2782</v>
      </c>
      <c r="AE825" t="str">
        <f>PROPER(TRIM(AB825))</f>
        <v>Completed</v>
      </c>
      <c r="AS825" t="str">
        <f t="shared" si="14"/>
        <v/>
      </c>
    </row>
    <row r="826" spans="1:45">
      <c r="A826" t="s">
        <v>2542</v>
      </c>
      <c r="B826" s="7">
        <v>45737</v>
      </c>
      <c r="C826" s="4">
        <v>45738</v>
      </c>
      <c r="D826">
        <f>C826-B826</f>
        <v>1</v>
      </c>
      <c r="E826" t="str">
        <f>TEXT(B826,"mmmm")</f>
        <v>March</v>
      </c>
      <c r="F826">
        <f>YEAR(B826)</f>
        <v>2025</v>
      </c>
      <c r="G826" t="s">
        <v>2543</v>
      </c>
      <c r="H826" t="s">
        <v>114</v>
      </c>
      <c r="I826" t="s">
        <v>24</v>
      </c>
      <c r="J826" t="s">
        <v>63</v>
      </c>
      <c r="K826" t="s">
        <v>190</v>
      </c>
      <c r="L826" t="s">
        <v>191</v>
      </c>
      <c r="M826" t="s">
        <v>28</v>
      </c>
      <c r="N826" t="s">
        <v>29</v>
      </c>
      <c r="O826" t="s">
        <v>2544</v>
      </c>
      <c r="P826" t="s">
        <v>50</v>
      </c>
      <c r="Q826">
        <v>8</v>
      </c>
      <c r="R826">
        <v>4436.74</v>
      </c>
      <c r="S826">
        <v>0.05</v>
      </c>
      <c r="T826" s="12">
        <f>S826</f>
        <v>0.05</v>
      </c>
      <c r="U826">
        <v>33719.22</v>
      </c>
      <c r="V826">
        <f>Q826*R826*(1-S826)</f>
        <v>33719.223999999995</v>
      </c>
      <c r="W826">
        <v>28924.43</v>
      </c>
      <c r="X826">
        <v>4794.79</v>
      </c>
      <c r="Y826">
        <f>V826-W826</f>
        <v>4794.7939999999944</v>
      </c>
      <c r="Z826" s="12">
        <f>Y826/V826</f>
        <v>0.14219763776295669</v>
      </c>
      <c r="AA826" t="s">
        <v>32</v>
      </c>
      <c r="AB826" t="s">
        <v>33</v>
      </c>
      <c r="AC826" s="14" t="s">
        <v>2794</v>
      </c>
      <c r="AD826" t="s">
        <v>2782</v>
      </c>
      <c r="AE826" t="str">
        <f>PROPER(TRIM(AB826))</f>
        <v>Completed</v>
      </c>
      <c r="AS826" t="str">
        <f t="shared" si="14"/>
        <v/>
      </c>
    </row>
    <row r="827" spans="1:45">
      <c r="A827" t="s">
        <v>2545</v>
      </c>
      <c r="B827" s="7">
        <v>45763</v>
      </c>
      <c r="C827" s="4">
        <v>45764</v>
      </c>
      <c r="D827">
        <f>C827-B827</f>
        <v>1</v>
      </c>
      <c r="E827" t="str">
        <f>TEXT(B827,"mmmm")</f>
        <v>April</v>
      </c>
      <c r="F827">
        <f>YEAR(B827)</f>
        <v>2025</v>
      </c>
      <c r="G827" t="s">
        <v>2546</v>
      </c>
      <c r="H827" t="s">
        <v>71</v>
      </c>
      <c r="I827" t="s">
        <v>37</v>
      </c>
      <c r="J827" t="s">
        <v>25</v>
      </c>
      <c r="K827" t="s">
        <v>136</v>
      </c>
      <c r="L827" t="s">
        <v>137</v>
      </c>
      <c r="M827" t="s">
        <v>74</v>
      </c>
      <c r="N827" t="s">
        <v>274</v>
      </c>
      <c r="O827" t="s">
        <v>2547</v>
      </c>
      <c r="P827" t="s">
        <v>50</v>
      </c>
      <c r="Q827">
        <v>1</v>
      </c>
      <c r="R827">
        <v>2720.17</v>
      </c>
      <c r="S827">
        <v>0</v>
      </c>
      <c r="T827" s="12">
        <f>S827</f>
        <v>0</v>
      </c>
      <c r="U827">
        <v>2720.17</v>
      </c>
      <c r="V827">
        <f>Q827*R827*(1-S827)</f>
        <v>2720.17</v>
      </c>
      <c r="W827">
        <v>1834.23</v>
      </c>
      <c r="X827">
        <v>885.94</v>
      </c>
      <c r="Y827">
        <f>V827-W827</f>
        <v>885.94</v>
      </c>
      <c r="Z827" s="12">
        <f>Y827/V827</f>
        <v>0.3256928794891496</v>
      </c>
      <c r="AA827" t="s">
        <v>32</v>
      </c>
      <c r="AB827" t="s">
        <v>33</v>
      </c>
      <c r="AC827" s="14" t="s">
        <v>2794</v>
      </c>
      <c r="AD827" t="s">
        <v>2782</v>
      </c>
      <c r="AE827" t="str">
        <f>PROPER(TRIM(AB827))</f>
        <v>Completed</v>
      </c>
      <c r="AS827" t="str">
        <f t="shared" si="14"/>
        <v/>
      </c>
    </row>
    <row r="828" spans="1:45">
      <c r="A828" t="s">
        <v>2548</v>
      </c>
      <c r="B828" s="7">
        <v>45879</v>
      </c>
      <c r="C828" s="4">
        <v>45883</v>
      </c>
      <c r="D828">
        <f>C828-B828</f>
        <v>4</v>
      </c>
      <c r="E828" t="str">
        <f>TEXT(B828,"mmmm")</f>
        <v>August</v>
      </c>
      <c r="F828">
        <f>YEAR(B828)</f>
        <v>2025</v>
      </c>
      <c r="G828" t="s">
        <v>2549</v>
      </c>
      <c r="H828" t="s">
        <v>89</v>
      </c>
      <c r="I828" t="s">
        <v>24</v>
      </c>
      <c r="J828" t="s">
        <v>63</v>
      </c>
      <c r="K828" t="s">
        <v>26</v>
      </c>
      <c r="L828" t="s">
        <v>109</v>
      </c>
      <c r="M828" t="s">
        <v>74</v>
      </c>
      <c r="N828" t="s">
        <v>75</v>
      </c>
      <c r="O828" t="s">
        <v>2550</v>
      </c>
      <c r="P828" t="s">
        <v>59</v>
      </c>
      <c r="Q828">
        <v>5</v>
      </c>
      <c r="R828">
        <v>2190.14</v>
      </c>
      <c r="S828">
        <v>0.25</v>
      </c>
      <c r="T828" s="12">
        <f>S828</f>
        <v>0.25</v>
      </c>
      <c r="U828">
        <v>8213.02</v>
      </c>
      <c r="V828">
        <f>Q828*R828*(1-S828)</f>
        <v>8213.0249999999996</v>
      </c>
      <c r="W828">
        <v>5569.3</v>
      </c>
      <c r="X828">
        <v>2643.72</v>
      </c>
      <c r="Y828">
        <f>V828-W828</f>
        <v>2643.7249999999995</v>
      </c>
      <c r="Z828" s="12">
        <f>Y828/V828</f>
        <v>0.32189418636860345</v>
      </c>
      <c r="AA828" t="s">
        <v>32</v>
      </c>
      <c r="AB828" t="s">
        <v>33</v>
      </c>
      <c r="AC828" s="14" t="s">
        <v>2794</v>
      </c>
      <c r="AD828" t="s">
        <v>2782</v>
      </c>
      <c r="AE828" t="str">
        <f>PROPER(TRIM(AB828))</f>
        <v>Completed</v>
      </c>
      <c r="AS828" t="str">
        <f t="shared" si="14"/>
        <v/>
      </c>
    </row>
    <row r="829" spans="1:45">
      <c r="A829" t="s">
        <v>2551</v>
      </c>
      <c r="B829" s="7">
        <v>45620</v>
      </c>
      <c r="C829" s="4">
        <v>45627</v>
      </c>
      <c r="D829">
        <f>C829-B829</f>
        <v>7</v>
      </c>
      <c r="E829" t="str">
        <f>TEXT(B829,"mmmm")</f>
        <v>November</v>
      </c>
      <c r="F829">
        <f>YEAR(B829)</f>
        <v>2024</v>
      </c>
      <c r="G829" t="s">
        <v>2552</v>
      </c>
      <c r="H829" t="s">
        <v>114</v>
      </c>
      <c r="I829" t="s">
        <v>95</v>
      </c>
      <c r="J829" t="s">
        <v>54</v>
      </c>
      <c r="K829" t="s">
        <v>247</v>
      </c>
      <c r="L829" t="s">
        <v>248</v>
      </c>
      <c r="M829" t="s">
        <v>28</v>
      </c>
      <c r="N829" t="s">
        <v>29</v>
      </c>
      <c r="O829" t="s">
        <v>2553</v>
      </c>
      <c r="P829" t="s">
        <v>44</v>
      </c>
      <c r="Q829">
        <v>1</v>
      </c>
      <c r="R829">
        <v>844.89</v>
      </c>
      <c r="S829">
        <v>0.25</v>
      </c>
      <c r="T829" s="12">
        <f>S829</f>
        <v>0.25</v>
      </c>
      <c r="U829">
        <v>633.66999999999996</v>
      </c>
      <c r="V829">
        <f>Q829*R829*(1-S829)</f>
        <v>633.66750000000002</v>
      </c>
      <c r="W829">
        <v>520.47</v>
      </c>
      <c r="X829">
        <v>113.2</v>
      </c>
      <c r="Y829">
        <f>V829-W829</f>
        <v>113.19749999999999</v>
      </c>
      <c r="Z829" s="12">
        <f>Y829/V829</f>
        <v>0.17863863934950111</v>
      </c>
      <c r="AA829" t="s">
        <v>32</v>
      </c>
      <c r="AB829" t="s">
        <v>68</v>
      </c>
      <c r="AC829" s="14" t="s">
        <v>2794</v>
      </c>
      <c r="AD829" t="s">
        <v>2782</v>
      </c>
      <c r="AE829" t="str">
        <f>PROPER(TRIM(AB829))</f>
        <v>Cancelled</v>
      </c>
      <c r="AS829" t="str">
        <f t="shared" si="14"/>
        <v/>
      </c>
    </row>
    <row r="830" spans="1:45">
      <c r="A830" t="s">
        <v>2554</v>
      </c>
      <c r="B830" s="7">
        <v>45940</v>
      </c>
      <c r="C830" s="4">
        <v>45941</v>
      </c>
      <c r="D830">
        <f>C830-B830</f>
        <v>1</v>
      </c>
      <c r="E830" t="str">
        <f>TEXT(B830,"mmmm")</f>
        <v>October</v>
      </c>
      <c r="F830">
        <f>YEAR(B830)</f>
        <v>2025</v>
      </c>
      <c r="G830" t="s">
        <v>2555</v>
      </c>
      <c r="H830" t="s">
        <v>23</v>
      </c>
      <c r="I830" t="s">
        <v>90</v>
      </c>
      <c r="J830" t="s">
        <v>38</v>
      </c>
      <c r="K830" t="s">
        <v>39</v>
      </c>
      <c r="L830" t="s">
        <v>40</v>
      </c>
      <c r="M830" t="s">
        <v>41</v>
      </c>
      <c r="N830" t="s">
        <v>66</v>
      </c>
      <c r="O830" t="s">
        <v>2556</v>
      </c>
      <c r="P830" t="s">
        <v>31</v>
      </c>
      <c r="Q830">
        <v>7</v>
      </c>
      <c r="R830">
        <v>3791.96</v>
      </c>
      <c r="S830">
        <v>0.05</v>
      </c>
      <c r="T830" s="12">
        <f>S830</f>
        <v>0.05</v>
      </c>
      <c r="U830">
        <v>25216.53</v>
      </c>
      <c r="V830">
        <f>Q830*R830*(1-S830)</f>
        <v>25216.534</v>
      </c>
      <c r="W830">
        <v>14216.94</v>
      </c>
      <c r="X830">
        <v>10999.59</v>
      </c>
      <c r="Y830">
        <f>V830-W830</f>
        <v>10999.593999999999</v>
      </c>
      <c r="Z830" s="12">
        <f>Y830/V830</f>
        <v>0.4362056260388521</v>
      </c>
      <c r="AA830" t="s">
        <v>155</v>
      </c>
      <c r="AB830" t="s">
        <v>68</v>
      </c>
      <c r="AC830" s="14" t="s">
        <v>2794</v>
      </c>
      <c r="AD830" t="s">
        <v>2782</v>
      </c>
      <c r="AE830" t="str">
        <f>PROPER(TRIM(AB830))</f>
        <v>Cancelled</v>
      </c>
      <c r="AS830" t="str">
        <f t="shared" si="14"/>
        <v/>
      </c>
    </row>
    <row r="831" spans="1:45">
      <c r="A831" t="s">
        <v>2557</v>
      </c>
      <c r="B831" s="7">
        <v>45348</v>
      </c>
      <c r="C831" s="4">
        <v>45350</v>
      </c>
      <c r="D831">
        <f>C831-B831</f>
        <v>2</v>
      </c>
      <c r="E831" t="str">
        <f>TEXT(B831,"mmmm")</f>
        <v>February</v>
      </c>
      <c r="F831">
        <f>YEAR(B831)</f>
        <v>2024</v>
      </c>
      <c r="G831" t="s">
        <v>2558</v>
      </c>
      <c r="H831" t="s">
        <v>89</v>
      </c>
      <c r="I831" t="s">
        <v>37</v>
      </c>
      <c r="J831" t="s">
        <v>63</v>
      </c>
      <c r="K831" t="s">
        <v>190</v>
      </c>
      <c r="L831" t="s">
        <v>191</v>
      </c>
      <c r="M831" t="s">
        <v>41</v>
      </c>
      <c r="N831" t="s">
        <v>57</v>
      </c>
      <c r="O831" t="s">
        <v>2559</v>
      </c>
      <c r="P831" t="s">
        <v>31</v>
      </c>
      <c r="Q831">
        <v>7</v>
      </c>
      <c r="R831">
        <v>1035.1400000000001</v>
      </c>
      <c r="S831">
        <v>0.1</v>
      </c>
      <c r="T831" s="12">
        <f>S831</f>
        <v>0.1</v>
      </c>
      <c r="U831">
        <v>6521.38</v>
      </c>
      <c r="V831">
        <f>Q831*R831*(1-S831)</f>
        <v>6521.3820000000005</v>
      </c>
      <c r="W831">
        <v>4511.1000000000004</v>
      </c>
      <c r="X831">
        <v>2010.28</v>
      </c>
      <c r="Y831">
        <f>V831-W831</f>
        <v>2010.2820000000002</v>
      </c>
      <c r="Z831" s="12">
        <f>Y831/V831</f>
        <v>0.30826012032418892</v>
      </c>
      <c r="AA831" t="s">
        <v>32</v>
      </c>
      <c r="AB831" t="s">
        <v>33</v>
      </c>
      <c r="AC831" s="14" t="s">
        <v>2794</v>
      </c>
      <c r="AD831" t="s">
        <v>2782</v>
      </c>
      <c r="AE831" t="str">
        <f>PROPER(TRIM(AB831))</f>
        <v>Completed</v>
      </c>
      <c r="AS831" t="str">
        <f t="shared" si="14"/>
        <v/>
      </c>
    </row>
    <row r="832" spans="1:45">
      <c r="A832" t="s">
        <v>2560</v>
      </c>
      <c r="B832" s="7">
        <v>45853</v>
      </c>
      <c r="C832" s="4">
        <v>45856</v>
      </c>
      <c r="D832">
        <f>C832-B832</f>
        <v>3</v>
      </c>
      <c r="E832" t="str">
        <f>TEXT(B832,"mmmm")</f>
        <v>July</v>
      </c>
      <c r="F832">
        <f>YEAR(B832)</f>
        <v>2025</v>
      </c>
      <c r="G832" t="s">
        <v>2561</v>
      </c>
      <c r="H832" t="s">
        <v>89</v>
      </c>
      <c r="I832" t="s">
        <v>37</v>
      </c>
      <c r="J832" t="s">
        <v>2783</v>
      </c>
      <c r="K832" t="s">
        <v>247</v>
      </c>
      <c r="L832" t="s">
        <v>248</v>
      </c>
      <c r="M832" t="s">
        <v>74</v>
      </c>
      <c r="N832" t="s">
        <v>274</v>
      </c>
      <c r="O832" t="s">
        <v>2562</v>
      </c>
      <c r="P832" t="s">
        <v>50</v>
      </c>
      <c r="Q832">
        <v>6</v>
      </c>
      <c r="R832">
        <v>2382.88</v>
      </c>
      <c r="S832">
        <v>0.1</v>
      </c>
      <c r="T832" s="12">
        <f>S832</f>
        <v>0.1</v>
      </c>
      <c r="U832">
        <v>12867.55</v>
      </c>
      <c r="V832">
        <f>Q832*R832*(1-S832)</f>
        <v>12867.552000000001</v>
      </c>
      <c r="W832">
        <v>10068.94</v>
      </c>
      <c r="X832">
        <v>2798.61</v>
      </c>
      <c r="Y832">
        <f>V832-W832</f>
        <v>2798.612000000001</v>
      </c>
      <c r="Z832" s="12">
        <f>Y832/V832</f>
        <v>0.21749373929089236</v>
      </c>
      <c r="AA832" t="s">
        <v>32</v>
      </c>
      <c r="AB832" t="s">
        <v>33</v>
      </c>
      <c r="AC832" s="10" t="s">
        <v>2796</v>
      </c>
      <c r="AD832" t="s">
        <v>2782</v>
      </c>
      <c r="AE832" t="str">
        <f>PROPER(TRIM(AB832))</f>
        <v>Completed</v>
      </c>
      <c r="AS832" t="str">
        <f t="shared" si="14"/>
        <v/>
      </c>
    </row>
    <row r="833" spans="1:45">
      <c r="A833" t="s">
        <v>2563</v>
      </c>
      <c r="B833" s="7">
        <v>45720</v>
      </c>
      <c r="C833" s="4">
        <v>45750</v>
      </c>
      <c r="D833">
        <f>C833-B833</f>
        <v>30</v>
      </c>
      <c r="E833" t="str">
        <f>TEXT(B833,"mmmm")</f>
        <v>March</v>
      </c>
      <c r="F833">
        <f>YEAR(B833)</f>
        <v>2025</v>
      </c>
      <c r="G833" t="s">
        <v>2564</v>
      </c>
      <c r="H833" t="s">
        <v>162</v>
      </c>
      <c r="I833" t="s">
        <v>95</v>
      </c>
      <c r="J833" t="s">
        <v>2783</v>
      </c>
      <c r="K833" t="s">
        <v>236</v>
      </c>
      <c r="L833" t="s">
        <v>237</v>
      </c>
      <c r="M833" t="s">
        <v>41</v>
      </c>
      <c r="N833" t="s">
        <v>66</v>
      </c>
      <c r="O833" t="s">
        <v>2565</v>
      </c>
      <c r="P833" t="s">
        <v>50</v>
      </c>
      <c r="Q833">
        <v>9</v>
      </c>
      <c r="R833">
        <v>3462.7</v>
      </c>
      <c r="S833">
        <v>0.15</v>
      </c>
      <c r="T833" s="12">
        <f>S833</f>
        <v>0.15</v>
      </c>
      <c r="U833">
        <v>26489.65</v>
      </c>
      <c r="V833">
        <f>Q833*R833*(1-S833)</f>
        <v>26489.654999999999</v>
      </c>
      <c r="W833">
        <v>15818.46</v>
      </c>
      <c r="X833">
        <v>10671.19</v>
      </c>
      <c r="Y833">
        <f>V833-W833</f>
        <v>10671.195</v>
      </c>
      <c r="Z833" s="12">
        <f>Y833/V833</f>
        <v>0.40284386489744772</v>
      </c>
      <c r="AA833" t="s">
        <v>155</v>
      </c>
      <c r="AB833" t="s">
        <v>103</v>
      </c>
      <c r="AC833" s="10" t="s">
        <v>2796</v>
      </c>
      <c r="AD833" t="s">
        <v>2782</v>
      </c>
      <c r="AE833" t="str">
        <f>PROPER(TRIM(AB833))</f>
        <v>Returned</v>
      </c>
      <c r="AS833" t="str">
        <f t="shared" si="14"/>
        <v/>
      </c>
    </row>
    <row r="834" spans="1:45">
      <c r="A834" t="s">
        <v>2566</v>
      </c>
      <c r="B834" s="7">
        <v>45803</v>
      </c>
      <c r="C834" s="4">
        <v>45805</v>
      </c>
      <c r="D834">
        <f>C834-B834</f>
        <v>2</v>
      </c>
      <c r="E834" t="str">
        <f>TEXT(B834,"mmmm")</f>
        <v>May</v>
      </c>
      <c r="F834">
        <f>YEAR(B834)</f>
        <v>2025</v>
      </c>
      <c r="G834" t="s">
        <v>2567</v>
      </c>
      <c r="H834" t="s">
        <v>264</v>
      </c>
      <c r="I834" t="s">
        <v>37</v>
      </c>
      <c r="J834" t="s">
        <v>54</v>
      </c>
      <c r="K834" t="s">
        <v>84</v>
      </c>
      <c r="L834" t="s">
        <v>85</v>
      </c>
      <c r="M834" t="s">
        <v>74</v>
      </c>
      <c r="N834" t="s">
        <v>171</v>
      </c>
      <c r="O834" t="s">
        <v>2568</v>
      </c>
      <c r="P834" t="s">
        <v>31</v>
      </c>
      <c r="Q834">
        <v>9</v>
      </c>
      <c r="R834">
        <v>4302.0200000000004</v>
      </c>
      <c r="S834">
        <v>0.05</v>
      </c>
      <c r="T834" s="12">
        <f>S834</f>
        <v>0.05</v>
      </c>
      <c r="U834">
        <v>36782.269999999997</v>
      </c>
      <c r="V834">
        <f>Q834*R834*(1-S834)</f>
        <v>36782.271000000008</v>
      </c>
      <c r="W834">
        <v>25902.81</v>
      </c>
      <c r="X834">
        <v>10879.46</v>
      </c>
      <c r="Y834">
        <f>V834-W834</f>
        <v>10879.461000000007</v>
      </c>
      <c r="Z834" s="12">
        <f>Y834/V834</f>
        <v>0.29578002402298664</v>
      </c>
      <c r="AA834" t="s">
        <v>32</v>
      </c>
      <c r="AB834" t="s">
        <v>33</v>
      </c>
      <c r="AC834" s="14" t="s">
        <v>2794</v>
      </c>
      <c r="AD834" t="s">
        <v>2782</v>
      </c>
      <c r="AE834" t="str">
        <f>PROPER(TRIM(AB834))</f>
        <v>Completed</v>
      </c>
      <c r="AS834" t="str">
        <f t="shared" si="14"/>
        <v/>
      </c>
    </row>
    <row r="835" spans="1:45">
      <c r="A835" t="s">
        <v>2569</v>
      </c>
      <c r="B835" s="7">
        <v>45447</v>
      </c>
      <c r="C835" s="4">
        <v>45388</v>
      </c>
      <c r="D835" s="10">
        <f>C835-B835</f>
        <v>-59</v>
      </c>
      <c r="E835" t="str">
        <f>TEXT(B835,"mmmm")</f>
        <v>June</v>
      </c>
      <c r="F835">
        <f>YEAR(B835)</f>
        <v>2024</v>
      </c>
      <c r="G835" t="s">
        <v>2570</v>
      </c>
      <c r="H835" t="s">
        <v>118</v>
      </c>
      <c r="I835" t="s">
        <v>95</v>
      </c>
      <c r="J835" t="s">
        <v>38</v>
      </c>
      <c r="K835" t="s">
        <v>99</v>
      </c>
      <c r="L835" t="s">
        <v>100</v>
      </c>
      <c r="M835" t="s">
        <v>41</v>
      </c>
      <c r="N835" t="s">
        <v>158</v>
      </c>
      <c r="O835" t="s">
        <v>2571</v>
      </c>
      <c r="P835" t="s">
        <v>50</v>
      </c>
      <c r="Q835">
        <v>6</v>
      </c>
      <c r="R835">
        <v>3949.4</v>
      </c>
      <c r="S835">
        <v>0</v>
      </c>
      <c r="T835" s="12">
        <f>S835</f>
        <v>0</v>
      </c>
      <c r="U835">
        <v>23696.400000000001</v>
      </c>
      <c r="V835">
        <f>Q835*R835*(1-S835)</f>
        <v>23696.400000000001</v>
      </c>
      <c r="W835">
        <v>18109.77</v>
      </c>
      <c r="X835">
        <v>5586.63</v>
      </c>
      <c r="Y835">
        <f>V835-W835</f>
        <v>5586.630000000001</v>
      </c>
      <c r="Z835" s="12">
        <f>Y835/V835</f>
        <v>0.23575859624246723</v>
      </c>
      <c r="AA835" t="s">
        <v>32</v>
      </c>
      <c r="AB835" t="s">
        <v>33</v>
      </c>
      <c r="AC835" s="10" t="s">
        <v>2792</v>
      </c>
      <c r="AD835" t="s">
        <v>2782</v>
      </c>
      <c r="AE835" t="str">
        <f>PROPER(TRIM(AB835))</f>
        <v>Completed</v>
      </c>
      <c r="AS835" t="str">
        <f t="shared" ref="AS835:AS898" si="15">PROPER(TRIM(AD835))</f>
        <v/>
      </c>
    </row>
    <row r="836" spans="1:45">
      <c r="A836" t="s">
        <v>2572</v>
      </c>
      <c r="B836" s="7">
        <v>45583</v>
      </c>
      <c r="C836" s="4">
        <v>45587</v>
      </c>
      <c r="D836">
        <f>C836-B836</f>
        <v>4</v>
      </c>
      <c r="E836" t="str">
        <f>TEXT(B836,"mmmm")</f>
        <v>October</v>
      </c>
      <c r="F836">
        <f>YEAR(B836)</f>
        <v>2024</v>
      </c>
      <c r="G836" t="s">
        <v>2573</v>
      </c>
      <c r="H836" t="s">
        <v>128</v>
      </c>
      <c r="I836" t="s">
        <v>95</v>
      </c>
      <c r="J836" t="s">
        <v>54</v>
      </c>
      <c r="K836" t="s">
        <v>55</v>
      </c>
      <c r="L836" t="s">
        <v>56</v>
      </c>
      <c r="M836" t="s">
        <v>28</v>
      </c>
      <c r="N836" t="s">
        <v>48</v>
      </c>
      <c r="O836" t="s">
        <v>2574</v>
      </c>
      <c r="P836" t="s">
        <v>50</v>
      </c>
      <c r="Q836">
        <v>6</v>
      </c>
      <c r="R836">
        <v>674.61</v>
      </c>
      <c r="S836">
        <v>0</v>
      </c>
      <c r="T836" s="12">
        <f>S836</f>
        <v>0</v>
      </c>
      <c r="U836">
        <v>4047.66</v>
      </c>
      <c r="V836">
        <f>Q836*R836*(1-S836)</f>
        <v>4047.66</v>
      </c>
      <c r="W836">
        <v>3078.93</v>
      </c>
      <c r="X836">
        <v>1279.79</v>
      </c>
      <c r="Y836">
        <f>V836-W836</f>
        <v>968.73</v>
      </c>
      <c r="Z836" s="12">
        <f>Y836/V836</f>
        <v>0.23933087265234729</v>
      </c>
      <c r="AA836" t="s">
        <v>32</v>
      </c>
      <c r="AB836" t="s">
        <v>33</v>
      </c>
      <c r="AC836" s="14" t="s">
        <v>2794</v>
      </c>
      <c r="AD836" t="s">
        <v>2782</v>
      </c>
      <c r="AE836" t="str">
        <f>PROPER(TRIM(AB836))</f>
        <v>Completed</v>
      </c>
      <c r="AS836" t="str">
        <f t="shared" si="15"/>
        <v/>
      </c>
    </row>
    <row r="837" spans="1:45">
      <c r="A837" t="s">
        <v>2575</v>
      </c>
      <c r="B837" s="7">
        <v>45926</v>
      </c>
      <c r="C837" s="4">
        <v>45934</v>
      </c>
      <c r="D837">
        <f>C837-B837</f>
        <v>8</v>
      </c>
      <c r="E837" t="str">
        <f>TEXT(B837,"mmmm")</f>
        <v>September</v>
      </c>
      <c r="F837">
        <f>YEAR(B837)</f>
        <v>2025</v>
      </c>
      <c r="G837" t="s">
        <v>2576</v>
      </c>
      <c r="H837" t="s">
        <v>114</v>
      </c>
      <c r="I837" t="s">
        <v>37</v>
      </c>
      <c r="J837" t="s">
        <v>38</v>
      </c>
      <c r="K837" t="s">
        <v>166</v>
      </c>
      <c r="L837" t="s">
        <v>167</v>
      </c>
      <c r="M837" t="s">
        <v>74</v>
      </c>
      <c r="N837" t="s">
        <v>171</v>
      </c>
      <c r="O837" t="s">
        <v>2577</v>
      </c>
      <c r="P837" t="s">
        <v>31</v>
      </c>
      <c r="Q837">
        <v>7</v>
      </c>
      <c r="R837">
        <v>1509.59</v>
      </c>
      <c r="S837">
        <v>0.05</v>
      </c>
      <c r="T837" s="12">
        <f>S837</f>
        <v>0.05</v>
      </c>
      <c r="U837">
        <v>10038.77</v>
      </c>
      <c r="V837">
        <f>Q837*R837*(1-S837)</f>
        <v>10038.773499999999</v>
      </c>
      <c r="W837">
        <v>5673.1</v>
      </c>
      <c r="X837">
        <v>4365.67</v>
      </c>
      <c r="Y837">
        <f>V837-W837</f>
        <v>4365.673499999999</v>
      </c>
      <c r="Z837" s="12">
        <f>Y837/V837</f>
        <v>0.43488116352062323</v>
      </c>
      <c r="AA837" t="s">
        <v>32</v>
      </c>
      <c r="AB837" t="s">
        <v>33</v>
      </c>
      <c r="AC837" s="14" t="s">
        <v>2794</v>
      </c>
      <c r="AD837" t="s">
        <v>2782</v>
      </c>
      <c r="AE837" t="str">
        <f>PROPER(TRIM(AB837))</f>
        <v>Completed</v>
      </c>
      <c r="AS837" t="str">
        <f t="shared" si="15"/>
        <v/>
      </c>
    </row>
    <row r="838" spans="1:45">
      <c r="A838" t="s">
        <v>2578</v>
      </c>
      <c r="B838" s="7">
        <v>45641</v>
      </c>
      <c r="C838" s="4">
        <v>45644</v>
      </c>
      <c r="D838">
        <f>C838-B838</f>
        <v>3</v>
      </c>
      <c r="E838" t="str">
        <f>TEXT(B838,"mmmm")</f>
        <v>December</v>
      </c>
      <c r="F838">
        <f>YEAR(B838)</f>
        <v>2024</v>
      </c>
      <c r="G838" t="s">
        <v>2579</v>
      </c>
      <c r="H838" t="s">
        <v>47</v>
      </c>
      <c r="I838" t="s">
        <v>37</v>
      </c>
      <c r="J838" t="s">
        <v>25</v>
      </c>
      <c r="K838" t="s">
        <v>26</v>
      </c>
      <c r="L838" t="s">
        <v>27</v>
      </c>
      <c r="M838" t="s">
        <v>28</v>
      </c>
      <c r="N838" t="s">
        <v>91</v>
      </c>
      <c r="O838" t="s">
        <v>2580</v>
      </c>
      <c r="P838" t="s">
        <v>31</v>
      </c>
      <c r="Q838">
        <v>2</v>
      </c>
      <c r="R838">
        <v>537.11</v>
      </c>
      <c r="S838">
        <v>0</v>
      </c>
      <c r="T838" s="12">
        <f>S838</f>
        <v>0</v>
      </c>
      <c r="U838">
        <v>1074.22</v>
      </c>
      <c r="V838">
        <f>Q838*R838*(1-S838)</f>
        <v>1074.22</v>
      </c>
      <c r="W838">
        <v>850.86</v>
      </c>
      <c r="X838">
        <v>223.36</v>
      </c>
      <c r="Y838">
        <f>V838-W838</f>
        <v>223.36</v>
      </c>
      <c r="Z838" s="12">
        <f>Y838/V838</f>
        <v>0.20792761259332354</v>
      </c>
      <c r="AA838" t="s">
        <v>32</v>
      </c>
      <c r="AB838" t="s">
        <v>33</v>
      </c>
      <c r="AC838" s="14" t="s">
        <v>2794</v>
      </c>
      <c r="AD838" t="s">
        <v>2782</v>
      </c>
      <c r="AE838" t="str">
        <f>PROPER(TRIM(AB838))</f>
        <v>Completed</v>
      </c>
      <c r="AS838" t="str">
        <f t="shared" si="15"/>
        <v/>
      </c>
    </row>
    <row r="839" spans="1:45">
      <c r="A839" t="s">
        <v>2581</v>
      </c>
      <c r="B839" s="7">
        <v>45927</v>
      </c>
      <c r="C839" s="4">
        <v>45928</v>
      </c>
      <c r="D839">
        <f>C839-B839</f>
        <v>1</v>
      </c>
      <c r="E839" t="str">
        <f>TEXT(B839,"mmmm")</f>
        <v>September</v>
      </c>
      <c r="F839">
        <f>YEAR(B839)</f>
        <v>2025</v>
      </c>
      <c r="G839" t="s">
        <v>2582</v>
      </c>
      <c r="H839" t="s">
        <v>23</v>
      </c>
      <c r="I839" t="s">
        <v>95</v>
      </c>
      <c r="J839" t="s">
        <v>63</v>
      </c>
      <c r="K839" t="s">
        <v>64</v>
      </c>
      <c r="L839" t="s">
        <v>65</v>
      </c>
      <c r="M839" t="s">
        <v>28</v>
      </c>
      <c r="N839" t="s">
        <v>29</v>
      </c>
      <c r="O839" t="s">
        <v>2583</v>
      </c>
      <c r="P839" t="s">
        <v>50</v>
      </c>
      <c r="Q839">
        <v>3</v>
      </c>
      <c r="R839">
        <v>4177.63</v>
      </c>
      <c r="S839">
        <v>0.25</v>
      </c>
      <c r="T839" s="12">
        <f>S839</f>
        <v>0.25</v>
      </c>
      <c r="U839">
        <v>9399.67</v>
      </c>
      <c r="V839">
        <f>Q839*R839*(1-S839)</f>
        <v>9399.6674999999996</v>
      </c>
      <c r="W839">
        <v>6540.37</v>
      </c>
      <c r="X839">
        <v>2859.3</v>
      </c>
      <c r="Y839">
        <f>V839-W839</f>
        <v>2859.2974999999997</v>
      </c>
      <c r="Z839" s="12">
        <f>Y839/V839</f>
        <v>0.30419134506619516</v>
      </c>
      <c r="AA839" t="s">
        <v>32</v>
      </c>
      <c r="AB839" t="s">
        <v>33</v>
      </c>
      <c r="AC839" s="14" t="s">
        <v>2794</v>
      </c>
      <c r="AD839" t="s">
        <v>2782</v>
      </c>
      <c r="AE839" t="str">
        <f>PROPER(TRIM(AB839))</f>
        <v>Completed</v>
      </c>
      <c r="AS839" t="str">
        <f t="shared" si="15"/>
        <v/>
      </c>
    </row>
    <row r="840" spans="1:45">
      <c r="A840" t="s">
        <v>2584</v>
      </c>
      <c r="B840" s="7">
        <v>45720</v>
      </c>
      <c r="C840" s="4">
        <v>45754</v>
      </c>
      <c r="D840">
        <f>C840-B840</f>
        <v>34</v>
      </c>
      <c r="E840" t="str">
        <f>TEXT(B840,"mmmm")</f>
        <v>March</v>
      </c>
      <c r="F840">
        <f>YEAR(B840)</f>
        <v>2025</v>
      </c>
      <c r="G840" t="s">
        <v>2585</v>
      </c>
      <c r="H840" t="s">
        <v>62</v>
      </c>
      <c r="I840" t="s">
        <v>37</v>
      </c>
      <c r="J840" t="s">
        <v>63</v>
      </c>
      <c r="K840" t="s">
        <v>190</v>
      </c>
      <c r="L840" t="s">
        <v>191</v>
      </c>
      <c r="M840" t="s">
        <v>28</v>
      </c>
      <c r="N840" t="s">
        <v>29</v>
      </c>
      <c r="O840" t="s">
        <v>2586</v>
      </c>
      <c r="P840" t="s">
        <v>44</v>
      </c>
      <c r="Q840">
        <v>1</v>
      </c>
      <c r="R840">
        <v>1470.57</v>
      </c>
      <c r="S840">
        <v>0</v>
      </c>
      <c r="T840" s="12">
        <f>S840</f>
        <v>0</v>
      </c>
      <c r="U840">
        <v>1470.57</v>
      </c>
      <c r="V840">
        <f>Q840*R840*(1-S840)</f>
        <v>1470.57</v>
      </c>
      <c r="W840">
        <v>834.02</v>
      </c>
      <c r="X840">
        <v>636.54999999999995</v>
      </c>
      <c r="Y840">
        <f>V840-W840</f>
        <v>636.54999999999995</v>
      </c>
      <c r="Z840" s="12">
        <f>Y840/V840</f>
        <v>0.43285936745615644</v>
      </c>
      <c r="AA840" t="s">
        <v>32</v>
      </c>
      <c r="AB840" t="s">
        <v>103</v>
      </c>
      <c r="AC840" s="14" t="s">
        <v>2794</v>
      </c>
      <c r="AD840" t="s">
        <v>2782</v>
      </c>
      <c r="AE840" t="str">
        <f>PROPER(TRIM(AB840))</f>
        <v>Returned</v>
      </c>
      <c r="AS840" t="str">
        <f t="shared" si="15"/>
        <v/>
      </c>
    </row>
    <row r="841" spans="1:45">
      <c r="A841" t="s">
        <v>2587</v>
      </c>
      <c r="B841" s="7">
        <v>45555</v>
      </c>
      <c r="C841" s="4">
        <v>45557</v>
      </c>
      <c r="D841">
        <f>C841-B841</f>
        <v>2</v>
      </c>
      <c r="E841" t="str">
        <f>TEXT(B841,"mmmm")</f>
        <v>September</v>
      </c>
      <c r="F841">
        <f>YEAR(B841)</f>
        <v>2024</v>
      </c>
      <c r="G841" t="s">
        <v>2588</v>
      </c>
      <c r="H841" t="s">
        <v>141</v>
      </c>
      <c r="I841" t="s">
        <v>95</v>
      </c>
      <c r="J841" t="s">
        <v>38</v>
      </c>
      <c r="K841" t="s">
        <v>39</v>
      </c>
      <c r="L841" t="s">
        <v>40</v>
      </c>
      <c r="M841" t="s">
        <v>74</v>
      </c>
      <c r="N841" t="s">
        <v>171</v>
      </c>
      <c r="O841" t="s">
        <v>2589</v>
      </c>
      <c r="P841" t="s">
        <v>59</v>
      </c>
      <c r="Q841">
        <v>8</v>
      </c>
      <c r="R841">
        <v>531.42999999999995</v>
      </c>
      <c r="S841">
        <v>0.1</v>
      </c>
      <c r="T841" s="12">
        <f>S841</f>
        <v>0.1</v>
      </c>
      <c r="U841">
        <v>3826.3</v>
      </c>
      <c r="V841">
        <f>Q841*R841*(1-S841)</f>
        <v>3826.2959999999998</v>
      </c>
      <c r="W841">
        <v>2194.12</v>
      </c>
      <c r="X841">
        <v>1632.18</v>
      </c>
      <c r="Y841">
        <f>V841-W841</f>
        <v>1632.1759999999999</v>
      </c>
      <c r="Z841" s="12">
        <f>Y841/V841</f>
        <v>0.42656814841298218</v>
      </c>
      <c r="AA841" t="s">
        <v>32</v>
      </c>
      <c r="AB841" t="s">
        <v>33</v>
      </c>
      <c r="AC841" s="14" t="s">
        <v>2794</v>
      </c>
      <c r="AD841" t="s">
        <v>2782</v>
      </c>
      <c r="AE841" t="str">
        <f>PROPER(TRIM(AB841))</f>
        <v>Completed</v>
      </c>
      <c r="AS841" t="str">
        <f t="shared" si="15"/>
        <v/>
      </c>
    </row>
    <row r="842" spans="1:45">
      <c r="A842" t="s">
        <v>2590</v>
      </c>
      <c r="B842" s="7">
        <v>45919</v>
      </c>
      <c r="C842" s="4">
        <v>45919</v>
      </c>
      <c r="D842">
        <f>C842-B842</f>
        <v>0</v>
      </c>
      <c r="E842" t="str">
        <f>TEXT(B842,"mmmm")</f>
        <v>September</v>
      </c>
      <c r="F842">
        <f>YEAR(B842)</f>
        <v>2025</v>
      </c>
      <c r="G842" t="s">
        <v>2591</v>
      </c>
      <c r="H842" t="s">
        <v>79</v>
      </c>
      <c r="I842" t="s">
        <v>95</v>
      </c>
      <c r="J842" t="s">
        <v>25</v>
      </c>
      <c r="K842" t="s">
        <v>350</v>
      </c>
      <c r="L842" t="s">
        <v>351</v>
      </c>
      <c r="M842" t="s">
        <v>41</v>
      </c>
      <c r="N842" t="s">
        <v>66</v>
      </c>
      <c r="O842" t="s">
        <v>2592</v>
      </c>
      <c r="P842" t="s">
        <v>44</v>
      </c>
      <c r="Q842">
        <v>4</v>
      </c>
      <c r="R842">
        <v>1584.11</v>
      </c>
      <c r="S842">
        <v>0</v>
      </c>
      <c r="T842" s="12">
        <f>S842</f>
        <v>0</v>
      </c>
      <c r="U842">
        <v>6336.44</v>
      </c>
      <c r="V842">
        <f>Q842*R842*(1-S842)</f>
        <v>6336.44</v>
      </c>
      <c r="W842">
        <v>4680.68</v>
      </c>
      <c r="X842">
        <v>1655.76</v>
      </c>
      <c r="Y842">
        <f>V842-W842</f>
        <v>1655.7599999999993</v>
      </c>
      <c r="Z842" s="12">
        <f>Y842/V842</f>
        <v>0.26130761121386764</v>
      </c>
      <c r="AA842" t="s">
        <v>32</v>
      </c>
      <c r="AB842" t="s">
        <v>33</v>
      </c>
      <c r="AC842" s="14" t="s">
        <v>2794</v>
      </c>
      <c r="AD842" t="s">
        <v>2782</v>
      </c>
      <c r="AE842" t="str">
        <f>PROPER(TRIM(AB842))</f>
        <v>Completed</v>
      </c>
      <c r="AS842" t="str">
        <f t="shared" si="15"/>
        <v/>
      </c>
    </row>
    <row r="843" spans="1:45">
      <c r="A843" t="s">
        <v>2593</v>
      </c>
      <c r="B843" s="7">
        <v>45694</v>
      </c>
      <c r="C843" s="4">
        <v>45700</v>
      </c>
      <c r="D843">
        <f>C843-B843</f>
        <v>6</v>
      </c>
      <c r="E843" t="str">
        <f>TEXT(B843,"mmmm")</f>
        <v>February</v>
      </c>
      <c r="F843">
        <f>YEAR(B843)</f>
        <v>2025</v>
      </c>
      <c r="G843" t="s">
        <v>2594</v>
      </c>
      <c r="H843" t="s">
        <v>62</v>
      </c>
      <c r="I843" t="s">
        <v>37</v>
      </c>
      <c r="J843" t="s">
        <v>38</v>
      </c>
      <c r="K843" t="s">
        <v>145</v>
      </c>
      <c r="L843" t="s">
        <v>146</v>
      </c>
      <c r="M843" t="s">
        <v>28</v>
      </c>
      <c r="N843" t="s">
        <v>48</v>
      </c>
      <c r="O843" t="s">
        <v>2595</v>
      </c>
      <c r="P843" t="s">
        <v>59</v>
      </c>
      <c r="Q843">
        <v>9</v>
      </c>
      <c r="R843">
        <v>3237.16</v>
      </c>
      <c r="S843">
        <v>0.25</v>
      </c>
      <c r="T843" s="12">
        <f>S843</f>
        <v>0.25</v>
      </c>
      <c r="U843">
        <v>21850.83</v>
      </c>
      <c r="V843">
        <f>Q843*R843*(1-S843)</f>
        <v>21850.829999999998</v>
      </c>
      <c r="W843">
        <v>16600.13</v>
      </c>
      <c r="X843">
        <v>5250.7</v>
      </c>
      <c r="Y843">
        <f>V843-W843</f>
        <v>5250.6999999999971</v>
      </c>
      <c r="Z843" s="12">
        <f>Y843/V843</f>
        <v>0.2402975081495759</v>
      </c>
      <c r="AA843" t="s">
        <v>32</v>
      </c>
      <c r="AB843" t="s">
        <v>33</v>
      </c>
      <c r="AC843" s="14" t="s">
        <v>2794</v>
      </c>
      <c r="AD843" t="s">
        <v>2782</v>
      </c>
      <c r="AE843" t="str">
        <f>PROPER(TRIM(AB843))</f>
        <v>Completed</v>
      </c>
      <c r="AS843" t="str">
        <f t="shared" si="15"/>
        <v/>
      </c>
    </row>
    <row r="844" spans="1:45">
      <c r="A844" t="s">
        <v>2596</v>
      </c>
      <c r="B844" s="7">
        <v>45382</v>
      </c>
      <c r="C844" s="4">
        <v>45381</v>
      </c>
      <c r="D844" s="10">
        <f>C844-B844</f>
        <v>-1</v>
      </c>
      <c r="E844" t="str">
        <f>TEXT(B844,"mmmm")</f>
        <v>March</v>
      </c>
      <c r="F844">
        <f>YEAR(B844)</f>
        <v>2024</v>
      </c>
      <c r="G844" t="s">
        <v>2597</v>
      </c>
      <c r="H844" t="s">
        <v>264</v>
      </c>
      <c r="I844" t="s">
        <v>24</v>
      </c>
      <c r="J844" t="s">
        <v>25</v>
      </c>
      <c r="K844" t="s">
        <v>236</v>
      </c>
      <c r="L844" t="s">
        <v>237</v>
      </c>
      <c r="M844" t="s">
        <v>74</v>
      </c>
      <c r="N844" t="s">
        <v>274</v>
      </c>
      <c r="O844" t="s">
        <v>2598</v>
      </c>
      <c r="P844" t="s">
        <v>50</v>
      </c>
      <c r="Q844">
        <v>4</v>
      </c>
      <c r="R844">
        <v>2192.08</v>
      </c>
      <c r="S844">
        <v>0.15</v>
      </c>
      <c r="T844" s="12">
        <f>S844</f>
        <v>0.15</v>
      </c>
      <c r="U844">
        <v>7453.07</v>
      </c>
      <c r="V844">
        <f>Q844*R844*(1-S844)</f>
        <v>7453.0719999999992</v>
      </c>
      <c r="W844">
        <v>5133.78</v>
      </c>
      <c r="X844">
        <v>2319.29</v>
      </c>
      <c r="Y844">
        <f>V844-W844</f>
        <v>2319.2919999999995</v>
      </c>
      <c r="Z844" s="12">
        <f>Y844/V844</f>
        <v>0.31118604516365866</v>
      </c>
      <c r="AA844" t="s">
        <v>32</v>
      </c>
      <c r="AB844" t="s">
        <v>103</v>
      </c>
      <c r="AC844" s="10" t="s">
        <v>2792</v>
      </c>
      <c r="AD844" t="s">
        <v>2782</v>
      </c>
      <c r="AE844" t="str">
        <f>PROPER(TRIM(AB844))</f>
        <v>Returned</v>
      </c>
      <c r="AS844" t="str">
        <f t="shared" si="15"/>
        <v/>
      </c>
    </row>
    <row r="845" spans="1:45">
      <c r="A845" t="s">
        <v>2599</v>
      </c>
      <c r="B845" s="7">
        <v>45856</v>
      </c>
      <c r="C845" s="4">
        <v>45863</v>
      </c>
      <c r="D845">
        <f>C845-B845</f>
        <v>7</v>
      </c>
      <c r="E845" t="str">
        <f>TEXT(B845,"mmmm")</f>
        <v>July</v>
      </c>
      <c r="F845">
        <f>YEAR(B845)</f>
        <v>2025</v>
      </c>
      <c r="G845" t="s">
        <v>2600</v>
      </c>
      <c r="H845" t="s">
        <v>114</v>
      </c>
      <c r="I845" t="s">
        <v>37</v>
      </c>
      <c r="J845" t="s">
        <v>25</v>
      </c>
      <c r="K845" t="s">
        <v>136</v>
      </c>
      <c r="L845" t="s">
        <v>137</v>
      </c>
      <c r="M845" t="s">
        <v>74</v>
      </c>
      <c r="N845" t="s">
        <v>171</v>
      </c>
      <c r="O845" t="s">
        <v>2601</v>
      </c>
      <c r="P845" t="s">
        <v>50</v>
      </c>
      <c r="Q845">
        <v>9</v>
      </c>
      <c r="R845">
        <v>3989.52</v>
      </c>
      <c r="S845">
        <v>-0.02</v>
      </c>
      <c r="T845" s="13">
        <f>S845</f>
        <v>-0.02</v>
      </c>
      <c r="U845">
        <v>35905.68</v>
      </c>
      <c r="V845">
        <f>Q845*R845*(1-S845)</f>
        <v>36623.793600000005</v>
      </c>
      <c r="W845">
        <v>23916.1</v>
      </c>
      <c r="X845">
        <v>11989.58</v>
      </c>
      <c r="Y845">
        <f>V845-W845</f>
        <v>12707.693600000006</v>
      </c>
      <c r="Z845" s="12">
        <f>Y845/V845</f>
        <v>0.34697917257812433</v>
      </c>
      <c r="AA845" t="s">
        <v>32</v>
      </c>
      <c r="AB845" t="s">
        <v>33</v>
      </c>
      <c r="AC845" s="10" t="s">
        <v>2793</v>
      </c>
      <c r="AD845" t="s">
        <v>2782</v>
      </c>
      <c r="AE845" t="str">
        <f>PROPER(TRIM(AB845))</f>
        <v>Completed</v>
      </c>
      <c r="AS845" t="str">
        <f t="shared" si="15"/>
        <v/>
      </c>
    </row>
    <row r="846" spans="1:45">
      <c r="A846" t="s">
        <v>2602</v>
      </c>
      <c r="B846" s="7">
        <v>45677</v>
      </c>
      <c r="C846" s="4">
        <v>45682</v>
      </c>
      <c r="D846">
        <f>C846-B846</f>
        <v>5</v>
      </c>
      <c r="E846" t="str">
        <f>TEXT(B846,"mmmm")</f>
        <v>January</v>
      </c>
      <c r="F846">
        <f>YEAR(B846)</f>
        <v>2025</v>
      </c>
      <c r="G846" t="s">
        <v>2603</v>
      </c>
      <c r="H846" t="s">
        <v>89</v>
      </c>
      <c r="I846" t="s">
        <v>95</v>
      </c>
      <c r="J846" t="s">
        <v>63</v>
      </c>
      <c r="K846" t="s">
        <v>190</v>
      </c>
      <c r="L846" t="s">
        <v>191</v>
      </c>
      <c r="M846" t="s">
        <v>28</v>
      </c>
      <c r="N846" t="s">
        <v>48</v>
      </c>
      <c r="O846" t="s">
        <v>2604</v>
      </c>
      <c r="P846" t="s">
        <v>50</v>
      </c>
      <c r="Q846">
        <v>1</v>
      </c>
      <c r="R846">
        <v>3515.15</v>
      </c>
      <c r="S846">
        <v>0</v>
      </c>
      <c r="T846" s="12">
        <f>S846</f>
        <v>0</v>
      </c>
      <c r="U846">
        <v>3515.15</v>
      </c>
      <c r="V846">
        <f>Q846*R846*(1-S846)</f>
        <v>3515.15</v>
      </c>
      <c r="W846">
        <v>2216.34</v>
      </c>
      <c r="X846">
        <v>1298.81</v>
      </c>
      <c r="Y846">
        <f>V846-W846</f>
        <v>1298.81</v>
      </c>
      <c r="Z846" s="12">
        <f>Y846/V846</f>
        <v>0.36948921098672882</v>
      </c>
      <c r="AA846" t="s">
        <v>32</v>
      </c>
      <c r="AB846" t="s">
        <v>33</v>
      </c>
      <c r="AC846" s="14" t="s">
        <v>2794</v>
      </c>
      <c r="AD846" t="s">
        <v>2782</v>
      </c>
      <c r="AE846" t="str">
        <f>PROPER(TRIM(AB846))</f>
        <v>Completed</v>
      </c>
      <c r="AS846" t="str">
        <f t="shared" si="15"/>
        <v/>
      </c>
    </row>
    <row r="847" spans="1:45">
      <c r="A847" t="s">
        <v>2605</v>
      </c>
      <c r="B847" s="7">
        <v>45345</v>
      </c>
      <c r="C847" s="4">
        <v>45349</v>
      </c>
      <c r="D847">
        <f>C847-B847</f>
        <v>4</v>
      </c>
      <c r="E847" t="str">
        <f>TEXT(B847,"mmmm")</f>
        <v>February</v>
      </c>
      <c r="F847">
        <f>YEAR(B847)</f>
        <v>2024</v>
      </c>
      <c r="G847" t="s">
        <v>592</v>
      </c>
      <c r="H847" t="s">
        <v>23</v>
      </c>
      <c r="I847" t="s">
        <v>24</v>
      </c>
      <c r="J847" t="s">
        <v>38</v>
      </c>
      <c r="K847" t="s">
        <v>39</v>
      </c>
      <c r="L847" t="s">
        <v>40</v>
      </c>
      <c r="M847" t="s">
        <v>41</v>
      </c>
      <c r="N847" t="s">
        <v>42</v>
      </c>
      <c r="O847" t="s">
        <v>2606</v>
      </c>
      <c r="P847" t="s">
        <v>50</v>
      </c>
      <c r="Q847">
        <v>9</v>
      </c>
      <c r="R847">
        <v>3616.23</v>
      </c>
      <c r="S847">
        <v>0.25</v>
      </c>
      <c r="T847" s="12">
        <f>S847</f>
        <v>0.25</v>
      </c>
      <c r="U847">
        <v>24409.55</v>
      </c>
      <c r="V847">
        <f>Q847*R847*(1-S847)</f>
        <v>24409.552499999998</v>
      </c>
      <c r="W847">
        <v>17157.580000000002</v>
      </c>
      <c r="X847">
        <v>7251.97</v>
      </c>
      <c r="Y847">
        <f>V847-W847</f>
        <v>7251.9724999999962</v>
      </c>
      <c r="Z847" s="12">
        <f>Y847/V847</f>
        <v>0.29709567596538267</v>
      </c>
      <c r="AA847" t="s">
        <v>111</v>
      </c>
      <c r="AB847" t="s">
        <v>103</v>
      </c>
      <c r="AC847" s="14" t="s">
        <v>2794</v>
      </c>
      <c r="AD847" t="s">
        <v>2782</v>
      </c>
      <c r="AE847" t="str">
        <f>PROPER(TRIM(AB847))</f>
        <v>Returned</v>
      </c>
      <c r="AS847" t="str">
        <f t="shared" si="15"/>
        <v/>
      </c>
    </row>
    <row r="848" spans="1:45">
      <c r="A848" t="s">
        <v>2607</v>
      </c>
      <c r="B848" s="7">
        <v>45396</v>
      </c>
      <c r="C848" s="4">
        <v>45404</v>
      </c>
      <c r="D848">
        <f>C848-B848</f>
        <v>8</v>
      </c>
      <c r="E848" t="str">
        <f>TEXT(B848,"mmmm")</f>
        <v>April</v>
      </c>
      <c r="F848">
        <f>YEAR(B848)</f>
        <v>2024</v>
      </c>
      <c r="G848" t="s">
        <v>2608</v>
      </c>
      <c r="H848" t="s">
        <v>114</v>
      </c>
      <c r="I848" t="s">
        <v>37</v>
      </c>
      <c r="J848" t="s">
        <v>63</v>
      </c>
      <c r="K848" t="s">
        <v>180</v>
      </c>
      <c r="L848" t="s">
        <v>181</v>
      </c>
      <c r="M848" t="s">
        <v>41</v>
      </c>
      <c r="N848" t="s">
        <v>158</v>
      </c>
      <c r="O848" t="s">
        <v>2609</v>
      </c>
      <c r="P848" t="s">
        <v>59</v>
      </c>
      <c r="Q848">
        <v>2</v>
      </c>
      <c r="R848">
        <v>3977.52</v>
      </c>
      <c r="S848">
        <v>0</v>
      </c>
      <c r="T848" s="12">
        <f>S848</f>
        <v>0</v>
      </c>
      <c r="U848">
        <v>7955.04</v>
      </c>
      <c r="V848">
        <f>Q848*R848*(1-S848)</f>
        <v>7955.04</v>
      </c>
      <c r="W848">
        <v>5580.68</v>
      </c>
      <c r="X848">
        <v>2374.36</v>
      </c>
      <c r="Y848">
        <f>V848-W848</f>
        <v>2374.3599999999997</v>
      </c>
      <c r="Z848" s="12">
        <f>Y848/V848</f>
        <v>0.29847241497214339</v>
      </c>
      <c r="AA848" t="s">
        <v>111</v>
      </c>
      <c r="AB848" t="s">
        <v>103</v>
      </c>
      <c r="AC848" s="14" t="s">
        <v>2794</v>
      </c>
      <c r="AD848" t="s">
        <v>2782</v>
      </c>
      <c r="AE848" t="str">
        <f>PROPER(TRIM(AB848))</f>
        <v>Returned</v>
      </c>
      <c r="AS848" t="str">
        <f t="shared" si="15"/>
        <v/>
      </c>
    </row>
    <row r="849" spans="1:45">
      <c r="A849" t="s">
        <v>2610</v>
      </c>
      <c r="B849" s="7">
        <v>45797</v>
      </c>
      <c r="C849" s="4">
        <v>45799</v>
      </c>
      <c r="D849">
        <f>C849-B849</f>
        <v>2</v>
      </c>
      <c r="E849" t="str">
        <f>TEXT(B849,"mmmm")</f>
        <v>May</v>
      </c>
      <c r="F849">
        <f>YEAR(B849)</f>
        <v>2025</v>
      </c>
      <c r="G849" t="s">
        <v>2611</v>
      </c>
      <c r="H849" t="s">
        <v>162</v>
      </c>
      <c r="I849" t="s">
        <v>95</v>
      </c>
      <c r="J849" t="s">
        <v>38</v>
      </c>
      <c r="K849" t="s">
        <v>39</v>
      </c>
      <c r="L849" t="s">
        <v>40</v>
      </c>
      <c r="M849" t="s">
        <v>41</v>
      </c>
      <c r="N849" t="s">
        <v>42</v>
      </c>
      <c r="O849" t="s">
        <v>2612</v>
      </c>
      <c r="P849" t="s">
        <v>31</v>
      </c>
      <c r="Q849">
        <v>2</v>
      </c>
      <c r="R849">
        <v>210.08</v>
      </c>
      <c r="S849">
        <v>0.2</v>
      </c>
      <c r="T849" s="12">
        <f>S849</f>
        <v>0.2</v>
      </c>
      <c r="U849">
        <v>336.13</v>
      </c>
      <c r="V849">
        <f>Q849*R849*(1-S849)</f>
        <v>336.12800000000004</v>
      </c>
      <c r="W849">
        <v>242.19</v>
      </c>
      <c r="X849">
        <v>93.94</v>
      </c>
      <c r="Y849">
        <f>V849-W849</f>
        <v>93.938000000000045</v>
      </c>
      <c r="Z849" s="12">
        <f>Y849/V849</f>
        <v>0.27947091584158423</v>
      </c>
      <c r="AA849" t="s">
        <v>32</v>
      </c>
      <c r="AB849" t="s">
        <v>33</v>
      </c>
      <c r="AC849" s="14" t="s">
        <v>2794</v>
      </c>
      <c r="AD849" t="s">
        <v>2782</v>
      </c>
      <c r="AE849" t="str">
        <f>PROPER(TRIM(AB849))</f>
        <v>Completed</v>
      </c>
      <c r="AS849" t="str">
        <f t="shared" si="15"/>
        <v/>
      </c>
    </row>
    <row r="850" spans="1:45">
      <c r="A850" t="s">
        <v>2613</v>
      </c>
      <c r="B850" s="7">
        <v>45804</v>
      </c>
      <c r="C850" s="4">
        <v>45806</v>
      </c>
      <c r="D850">
        <f>C850-B850</f>
        <v>2</v>
      </c>
      <c r="E850" t="str">
        <f>TEXT(B850,"mmmm")</f>
        <v>May</v>
      </c>
      <c r="F850">
        <f>YEAR(B850)</f>
        <v>2025</v>
      </c>
      <c r="G850" t="s">
        <v>2614</v>
      </c>
      <c r="H850" t="s">
        <v>118</v>
      </c>
      <c r="I850" t="s">
        <v>95</v>
      </c>
      <c r="J850" t="s">
        <v>54</v>
      </c>
      <c r="K850" t="s">
        <v>247</v>
      </c>
      <c r="L850" t="s">
        <v>248</v>
      </c>
      <c r="M850" t="s">
        <v>41</v>
      </c>
      <c r="N850" t="s">
        <v>57</v>
      </c>
      <c r="O850" t="s">
        <v>2615</v>
      </c>
      <c r="P850" t="s">
        <v>31</v>
      </c>
      <c r="Q850">
        <v>1</v>
      </c>
      <c r="R850">
        <v>1744.35</v>
      </c>
      <c r="S850">
        <v>0.25</v>
      </c>
      <c r="T850" s="12">
        <f>S850</f>
        <v>0.25</v>
      </c>
      <c r="U850">
        <v>1308.26</v>
      </c>
      <c r="V850">
        <f>Q850*R850*(1-S850)</f>
        <v>1308.2624999999998</v>
      </c>
      <c r="W850">
        <v>1083.56</v>
      </c>
      <c r="X850">
        <v>224.7</v>
      </c>
      <c r="Y850">
        <f>V850-W850</f>
        <v>224.70249999999987</v>
      </c>
      <c r="Z850" s="12">
        <f>Y850/V850</f>
        <v>0.17175643267310645</v>
      </c>
      <c r="AA850" t="s">
        <v>32</v>
      </c>
      <c r="AB850" t="s">
        <v>33</v>
      </c>
      <c r="AC850" s="14" t="s">
        <v>2794</v>
      </c>
      <c r="AD850" t="s">
        <v>2782</v>
      </c>
      <c r="AE850" t="str">
        <f>PROPER(TRIM(AB850))</f>
        <v>Completed</v>
      </c>
      <c r="AS850" t="str">
        <f t="shared" si="15"/>
        <v/>
      </c>
    </row>
    <row r="851" spans="1:45">
      <c r="A851" t="s">
        <v>2616</v>
      </c>
      <c r="B851" s="7">
        <v>45357</v>
      </c>
      <c r="C851" s="4">
        <v>45363</v>
      </c>
      <c r="D851">
        <f>C851-B851</f>
        <v>6</v>
      </c>
      <c r="E851" t="str">
        <f>TEXT(B851,"mmmm")</f>
        <v>March</v>
      </c>
      <c r="F851">
        <f>YEAR(B851)</f>
        <v>2024</v>
      </c>
      <c r="G851" t="s">
        <v>2617</v>
      </c>
      <c r="H851" t="s">
        <v>47</v>
      </c>
      <c r="I851" t="s">
        <v>95</v>
      </c>
      <c r="J851" t="s">
        <v>63</v>
      </c>
      <c r="K851" t="s">
        <v>180</v>
      </c>
      <c r="L851" t="s">
        <v>181</v>
      </c>
      <c r="M851" t="s">
        <v>41</v>
      </c>
      <c r="N851" t="s">
        <v>158</v>
      </c>
      <c r="O851" t="s">
        <v>2618</v>
      </c>
      <c r="P851" t="s">
        <v>59</v>
      </c>
      <c r="Q851">
        <v>3</v>
      </c>
      <c r="R851">
        <v>679.63</v>
      </c>
      <c r="S851">
        <v>0.2</v>
      </c>
      <c r="T851" s="12">
        <f>S851</f>
        <v>0.2</v>
      </c>
      <c r="U851">
        <v>1631.11</v>
      </c>
      <c r="V851">
        <f>Q851*R851*(1-S851)</f>
        <v>1631.1120000000001</v>
      </c>
      <c r="W851">
        <v>898.73</v>
      </c>
      <c r="X851">
        <v>396.58</v>
      </c>
      <c r="Y851">
        <f>V851-W851</f>
        <v>732.38200000000006</v>
      </c>
      <c r="Z851" s="12">
        <f>Y851/V851</f>
        <v>0.44900779345624336</v>
      </c>
      <c r="AA851" t="s">
        <v>32</v>
      </c>
      <c r="AB851" t="s">
        <v>33</v>
      </c>
      <c r="AC851" s="14" t="s">
        <v>2794</v>
      </c>
      <c r="AD851" t="s">
        <v>2782</v>
      </c>
      <c r="AE851" t="str">
        <f>PROPER(TRIM(AB851))</f>
        <v>Completed</v>
      </c>
      <c r="AS851" t="str">
        <f t="shared" si="15"/>
        <v/>
      </c>
    </row>
    <row r="852" spans="1:45">
      <c r="A852" t="s">
        <v>2619</v>
      </c>
      <c r="B852" s="7">
        <v>45473</v>
      </c>
      <c r="C852" s="4">
        <v>45476</v>
      </c>
      <c r="D852">
        <f>C852-B852</f>
        <v>3</v>
      </c>
      <c r="E852" t="str">
        <f>TEXT(B852,"mmmm")</f>
        <v>June</v>
      </c>
      <c r="F852">
        <f>YEAR(B852)</f>
        <v>2024</v>
      </c>
      <c r="G852" t="s">
        <v>2620</v>
      </c>
      <c r="H852" t="s">
        <v>114</v>
      </c>
      <c r="I852" t="s">
        <v>95</v>
      </c>
      <c r="J852" t="s">
        <v>38</v>
      </c>
      <c r="K852" t="s">
        <v>99</v>
      </c>
      <c r="L852" t="s">
        <v>100</v>
      </c>
      <c r="M852" t="s">
        <v>28</v>
      </c>
      <c r="N852" t="s">
        <v>29</v>
      </c>
      <c r="O852" t="s">
        <v>2621</v>
      </c>
      <c r="P852" t="s">
        <v>50</v>
      </c>
      <c r="Q852">
        <v>6</v>
      </c>
      <c r="R852">
        <v>1211.01</v>
      </c>
      <c r="S852">
        <v>0</v>
      </c>
      <c r="T852" s="12">
        <f>S852</f>
        <v>0</v>
      </c>
      <c r="U852">
        <v>7266.06</v>
      </c>
      <c r="V852">
        <f>Q852*R852*(1-S852)</f>
        <v>7266.0599999999995</v>
      </c>
      <c r="W852">
        <v>6216.89</v>
      </c>
      <c r="X852">
        <v>1049.17</v>
      </c>
      <c r="Y852">
        <f>V852-W852</f>
        <v>1049.1699999999992</v>
      </c>
      <c r="Z852" s="12">
        <f>Y852/V852</f>
        <v>0.14439324750965438</v>
      </c>
      <c r="AA852" t="s">
        <v>32</v>
      </c>
      <c r="AB852" t="s">
        <v>33</v>
      </c>
      <c r="AC852" s="14" t="s">
        <v>2794</v>
      </c>
      <c r="AD852" t="s">
        <v>2782</v>
      </c>
      <c r="AE852" t="str">
        <f>PROPER(TRIM(AB852))</f>
        <v>Completed</v>
      </c>
      <c r="AS852" t="str">
        <f t="shared" si="15"/>
        <v/>
      </c>
    </row>
    <row r="853" spans="1:45">
      <c r="A853" t="s">
        <v>2622</v>
      </c>
      <c r="B853" s="7">
        <v>45377</v>
      </c>
      <c r="C853" s="4">
        <v>45383</v>
      </c>
      <c r="D853">
        <f>C853-B853</f>
        <v>6</v>
      </c>
      <c r="E853" t="str">
        <f>TEXT(B853,"mmmm")</f>
        <v>March</v>
      </c>
      <c r="F853">
        <f>YEAR(B853)</f>
        <v>2024</v>
      </c>
      <c r="G853" t="s">
        <v>2623</v>
      </c>
      <c r="H853" t="s">
        <v>23</v>
      </c>
      <c r="I853" t="s">
        <v>37</v>
      </c>
      <c r="J853" t="s">
        <v>63</v>
      </c>
      <c r="K853" t="s">
        <v>180</v>
      </c>
      <c r="L853" t="s">
        <v>181</v>
      </c>
      <c r="M853" t="s">
        <v>74</v>
      </c>
      <c r="N853" t="s">
        <v>75</v>
      </c>
      <c r="O853" t="s">
        <v>2624</v>
      </c>
      <c r="P853" t="s">
        <v>50</v>
      </c>
      <c r="Q853">
        <v>2</v>
      </c>
      <c r="R853">
        <v>1161.3</v>
      </c>
      <c r="S853">
        <v>0.2</v>
      </c>
      <c r="T853" s="12">
        <f>S853</f>
        <v>0.2</v>
      </c>
      <c r="U853">
        <v>1858.08</v>
      </c>
      <c r="V853">
        <f>Q853*R853*(1-S853)</f>
        <v>1858.08</v>
      </c>
      <c r="W853">
        <v>1590.75</v>
      </c>
      <c r="X853">
        <v>267.33</v>
      </c>
      <c r="Y853">
        <f>V853-W853</f>
        <v>267.32999999999993</v>
      </c>
      <c r="Z853" s="12">
        <f>Y853/V853</f>
        <v>0.14387432188065097</v>
      </c>
      <c r="AA853" t="s">
        <v>32</v>
      </c>
      <c r="AB853" t="s">
        <v>33</v>
      </c>
      <c r="AC853" s="14" t="s">
        <v>2794</v>
      </c>
      <c r="AD853" t="s">
        <v>2782</v>
      </c>
      <c r="AE853" t="str">
        <f>PROPER(TRIM(AB853))</f>
        <v>Completed</v>
      </c>
      <c r="AS853" t="str">
        <f t="shared" si="15"/>
        <v/>
      </c>
    </row>
    <row r="854" spans="1:45">
      <c r="A854" t="s">
        <v>2625</v>
      </c>
      <c r="B854" s="7">
        <v>45383</v>
      </c>
      <c r="C854" s="4">
        <v>45390</v>
      </c>
      <c r="D854">
        <f>C854-B854</f>
        <v>7</v>
      </c>
      <c r="E854" t="str">
        <f>TEXT(B854,"mmmm")</f>
        <v>April</v>
      </c>
      <c r="F854">
        <f>YEAR(B854)</f>
        <v>2024</v>
      </c>
      <c r="G854" t="s">
        <v>2626</v>
      </c>
      <c r="H854" t="s">
        <v>62</v>
      </c>
      <c r="I854" t="s">
        <v>24</v>
      </c>
      <c r="J854" t="s">
        <v>38</v>
      </c>
      <c r="K854" t="s">
        <v>166</v>
      </c>
      <c r="L854" t="s">
        <v>167</v>
      </c>
      <c r="M854" t="s">
        <v>41</v>
      </c>
      <c r="N854" t="s">
        <v>42</v>
      </c>
      <c r="O854" t="s">
        <v>2627</v>
      </c>
      <c r="P854" t="s">
        <v>31</v>
      </c>
      <c r="Q854">
        <v>7</v>
      </c>
      <c r="R854">
        <v>4205.3500000000004</v>
      </c>
      <c r="S854">
        <v>0.15</v>
      </c>
      <c r="T854" s="12">
        <f>S854</f>
        <v>0.15</v>
      </c>
      <c r="U854">
        <v>25021.83</v>
      </c>
      <c r="V854">
        <f>Q854*R854*(1-S854)</f>
        <v>25021.832500000004</v>
      </c>
      <c r="W854">
        <v>15544.44</v>
      </c>
      <c r="X854">
        <v>9477.39</v>
      </c>
      <c r="Y854">
        <f>V854-W854</f>
        <v>9477.3925000000036</v>
      </c>
      <c r="Z854" s="12">
        <f>Y854/V854</f>
        <v>0.37876492459135447</v>
      </c>
      <c r="AA854" t="s">
        <v>111</v>
      </c>
      <c r="AB854" t="s">
        <v>68</v>
      </c>
      <c r="AC854" s="14" t="s">
        <v>2794</v>
      </c>
      <c r="AD854" t="s">
        <v>2782</v>
      </c>
      <c r="AE854" t="str">
        <f>PROPER(TRIM(AB854))</f>
        <v>Cancelled</v>
      </c>
      <c r="AS854" t="str">
        <f t="shared" si="15"/>
        <v/>
      </c>
    </row>
    <row r="855" spans="1:45">
      <c r="A855" t="s">
        <v>2628</v>
      </c>
      <c r="B855" s="7">
        <v>45793</v>
      </c>
      <c r="C855" s="4">
        <v>45799</v>
      </c>
      <c r="D855">
        <f>C855-B855</f>
        <v>6</v>
      </c>
      <c r="E855" t="str">
        <f>TEXT(B855,"mmmm")</f>
        <v>May</v>
      </c>
      <c r="F855">
        <f>YEAR(B855)</f>
        <v>2025</v>
      </c>
      <c r="G855" t="s">
        <v>2629</v>
      </c>
      <c r="H855" t="s">
        <v>53</v>
      </c>
      <c r="I855" t="s">
        <v>90</v>
      </c>
      <c r="J855" t="s">
        <v>54</v>
      </c>
      <c r="K855" t="s">
        <v>247</v>
      </c>
      <c r="L855" t="s">
        <v>248</v>
      </c>
      <c r="M855" t="s">
        <v>74</v>
      </c>
      <c r="N855" t="s">
        <v>75</v>
      </c>
      <c r="O855" t="s">
        <v>2630</v>
      </c>
      <c r="P855" t="s">
        <v>44</v>
      </c>
      <c r="Q855">
        <v>8</v>
      </c>
      <c r="R855">
        <v>579.79999999999995</v>
      </c>
      <c r="S855">
        <v>0.2</v>
      </c>
      <c r="T855" s="12">
        <f>S855</f>
        <v>0.2</v>
      </c>
      <c r="U855">
        <v>3710.72</v>
      </c>
      <c r="V855">
        <f>Q855*R855*(1-S855)</f>
        <v>3710.72</v>
      </c>
      <c r="W855">
        <v>3115.29</v>
      </c>
      <c r="X855">
        <v>595.42999999999995</v>
      </c>
      <c r="Y855">
        <f>V855-W855</f>
        <v>595.42999999999984</v>
      </c>
      <c r="Z855" s="12">
        <f>Y855/V855</f>
        <v>0.16046212055881334</v>
      </c>
      <c r="AA855" t="s">
        <v>32</v>
      </c>
      <c r="AB855" t="s">
        <v>33</v>
      </c>
      <c r="AC855" s="14" t="s">
        <v>2794</v>
      </c>
      <c r="AD855" t="s">
        <v>2782</v>
      </c>
      <c r="AE855" t="str">
        <f>PROPER(TRIM(AB855))</f>
        <v>Completed</v>
      </c>
      <c r="AS855" t="str">
        <f t="shared" si="15"/>
        <v/>
      </c>
    </row>
    <row r="856" spans="1:45">
      <c r="A856" t="s">
        <v>2631</v>
      </c>
      <c r="B856" s="7">
        <v>45741</v>
      </c>
      <c r="C856" s="4">
        <v>45692</v>
      </c>
      <c r="D856" s="10">
        <f>C856-B856</f>
        <v>-49</v>
      </c>
      <c r="E856" t="str">
        <f>TEXT(B856,"mmmm")</f>
        <v>March</v>
      </c>
      <c r="F856">
        <f>YEAR(B856)</f>
        <v>2025</v>
      </c>
      <c r="G856" t="s">
        <v>2632</v>
      </c>
      <c r="H856" t="s">
        <v>114</v>
      </c>
      <c r="I856" t="s">
        <v>24</v>
      </c>
      <c r="J856" t="s">
        <v>54</v>
      </c>
      <c r="K856" t="s">
        <v>175</v>
      </c>
      <c r="L856" t="s">
        <v>176</v>
      </c>
      <c r="M856" t="s">
        <v>41</v>
      </c>
      <c r="N856" t="s">
        <v>158</v>
      </c>
      <c r="O856" t="s">
        <v>2633</v>
      </c>
      <c r="P856" t="s">
        <v>31</v>
      </c>
      <c r="Q856">
        <v>4</v>
      </c>
      <c r="R856">
        <v>2233.64</v>
      </c>
      <c r="S856">
        <v>0.05</v>
      </c>
      <c r="T856" s="12">
        <f>S856</f>
        <v>0.05</v>
      </c>
      <c r="U856">
        <v>8487.83</v>
      </c>
      <c r="V856">
        <f>Q856*R856*(1-S856)</f>
        <v>8487.8319999999985</v>
      </c>
      <c r="W856">
        <v>5245.72</v>
      </c>
      <c r="X856">
        <v>3242.11</v>
      </c>
      <c r="Y856">
        <f>V856-W856</f>
        <v>3242.1119999999983</v>
      </c>
      <c r="Z856" s="12">
        <f>Y856/V856</f>
        <v>0.38197174496384928</v>
      </c>
      <c r="AA856" t="s">
        <v>32</v>
      </c>
      <c r="AB856" t="s">
        <v>33</v>
      </c>
      <c r="AC856" s="10" t="s">
        <v>2792</v>
      </c>
      <c r="AD856" t="s">
        <v>2782</v>
      </c>
      <c r="AE856" t="str">
        <f>PROPER(TRIM(AB856))</f>
        <v>Completed</v>
      </c>
      <c r="AS856" t="str">
        <f t="shared" si="15"/>
        <v/>
      </c>
    </row>
    <row r="857" spans="1:45">
      <c r="A857" t="s">
        <v>2634</v>
      </c>
      <c r="B857" s="7">
        <v>45498</v>
      </c>
      <c r="C857" s="4">
        <v>45506</v>
      </c>
      <c r="D857">
        <f>C857-B857</f>
        <v>8</v>
      </c>
      <c r="E857" t="str">
        <f>TEXT(B857,"mmmm")</f>
        <v>July</v>
      </c>
      <c r="F857">
        <f>YEAR(B857)</f>
        <v>2024</v>
      </c>
      <c r="G857" t="s">
        <v>1120</v>
      </c>
      <c r="H857" t="s">
        <v>118</v>
      </c>
      <c r="I857" t="s">
        <v>24</v>
      </c>
      <c r="J857" t="s">
        <v>25</v>
      </c>
      <c r="K857" t="s">
        <v>26</v>
      </c>
      <c r="L857" t="s">
        <v>27</v>
      </c>
      <c r="M857" t="s">
        <v>28</v>
      </c>
      <c r="N857" t="s">
        <v>91</v>
      </c>
      <c r="O857" t="s">
        <v>2635</v>
      </c>
      <c r="P857" t="s">
        <v>31</v>
      </c>
      <c r="Q857">
        <v>2</v>
      </c>
      <c r="R857">
        <v>2073.5300000000002</v>
      </c>
      <c r="S857">
        <v>0.25</v>
      </c>
      <c r="T857" s="12">
        <f>S857</f>
        <v>0.25</v>
      </c>
      <c r="U857">
        <v>3110.3</v>
      </c>
      <c r="V857">
        <f>Q857*R857*(1-S857)</f>
        <v>3110.2950000000001</v>
      </c>
      <c r="W857">
        <v>2101.0300000000002</v>
      </c>
      <c r="X857">
        <v>1009.27</v>
      </c>
      <c r="Y857">
        <f>V857-W857</f>
        <v>1009.2649999999999</v>
      </c>
      <c r="Z857" s="12">
        <f>Y857/V857</f>
        <v>0.32449172827657824</v>
      </c>
      <c r="AA857" t="s">
        <v>32</v>
      </c>
      <c r="AB857" t="s">
        <v>33</v>
      </c>
      <c r="AC857" s="14" t="s">
        <v>2794</v>
      </c>
      <c r="AD857" t="s">
        <v>2782</v>
      </c>
      <c r="AE857" t="str">
        <f>PROPER(TRIM(AB857))</f>
        <v>Completed</v>
      </c>
      <c r="AS857" t="str">
        <f t="shared" si="15"/>
        <v/>
      </c>
    </row>
    <row r="858" spans="1:45">
      <c r="A858" t="s">
        <v>2636</v>
      </c>
      <c r="B858" s="7">
        <v>45455</v>
      </c>
      <c r="C858" s="4">
        <v>45462</v>
      </c>
      <c r="D858">
        <f>C858-B858</f>
        <v>7</v>
      </c>
      <c r="E858" t="str">
        <f>TEXT(B858,"mmmm")</f>
        <v>June</v>
      </c>
      <c r="F858">
        <f>YEAR(B858)</f>
        <v>2024</v>
      </c>
      <c r="G858" t="s">
        <v>1298</v>
      </c>
      <c r="H858" t="s">
        <v>141</v>
      </c>
      <c r="I858" t="s">
        <v>95</v>
      </c>
      <c r="J858" t="s">
        <v>54</v>
      </c>
      <c r="K858" t="s">
        <v>247</v>
      </c>
      <c r="L858" t="s">
        <v>248</v>
      </c>
      <c r="M858" t="s">
        <v>28</v>
      </c>
      <c r="N858" t="s">
        <v>124</v>
      </c>
      <c r="O858" t="s">
        <v>2637</v>
      </c>
      <c r="P858" t="s">
        <v>59</v>
      </c>
      <c r="Q858">
        <v>4</v>
      </c>
      <c r="R858">
        <v>395.1</v>
      </c>
      <c r="S858">
        <v>-0.16</v>
      </c>
      <c r="T858" s="13">
        <f>S858</f>
        <v>-0.16</v>
      </c>
      <c r="U858">
        <v>1185.3</v>
      </c>
      <c r="V858">
        <f>Q858*R858*(1-S858)</f>
        <v>1833.2639999999999</v>
      </c>
      <c r="W858">
        <v>966.55</v>
      </c>
      <c r="X858">
        <v>218.75</v>
      </c>
      <c r="Y858">
        <f>V858-W858</f>
        <v>866.71399999999994</v>
      </c>
      <c r="Z858" s="12">
        <f>Y858/V858</f>
        <v>0.47277097024760206</v>
      </c>
      <c r="AA858" t="s">
        <v>155</v>
      </c>
      <c r="AB858" t="s">
        <v>68</v>
      </c>
      <c r="AC858" s="10" t="s">
        <v>2793</v>
      </c>
      <c r="AD858" t="s">
        <v>2782</v>
      </c>
      <c r="AE858" t="str">
        <f>PROPER(TRIM(AB858))</f>
        <v>Cancelled</v>
      </c>
      <c r="AS858" t="str">
        <f t="shared" si="15"/>
        <v/>
      </c>
    </row>
    <row r="859" spans="1:45">
      <c r="A859" t="s">
        <v>2638</v>
      </c>
      <c r="B859" s="7">
        <v>45447</v>
      </c>
      <c r="C859" s="4">
        <v>45447</v>
      </c>
      <c r="D859">
        <f>C859-B859</f>
        <v>0</v>
      </c>
      <c r="E859" t="str">
        <f>TEXT(B859,"mmmm")</f>
        <v>June</v>
      </c>
      <c r="F859">
        <f>YEAR(B859)</f>
        <v>2024</v>
      </c>
      <c r="G859" t="s">
        <v>2145</v>
      </c>
      <c r="H859" t="s">
        <v>132</v>
      </c>
      <c r="I859" t="s">
        <v>95</v>
      </c>
      <c r="J859" t="s">
        <v>54</v>
      </c>
      <c r="K859" t="s">
        <v>185</v>
      </c>
      <c r="L859" t="s">
        <v>186</v>
      </c>
      <c r="M859" t="s">
        <v>28</v>
      </c>
      <c r="N859" t="s">
        <v>124</v>
      </c>
      <c r="O859" t="s">
        <v>2639</v>
      </c>
      <c r="P859" t="s">
        <v>50</v>
      </c>
      <c r="Q859">
        <v>6</v>
      </c>
      <c r="R859">
        <v>2708.97</v>
      </c>
      <c r="S859">
        <v>0.25</v>
      </c>
      <c r="T859" s="12">
        <f>S859</f>
        <v>0.25</v>
      </c>
      <c r="U859">
        <v>12190.36</v>
      </c>
      <c r="V859">
        <f>Q859*R859*(1-S859)</f>
        <v>12190.365</v>
      </c>
      <c r="W859">
        <v>10176.99</v>
      </c>
      <c r="X859">
        <v>2013.37</v>
      </c>
      <c r="Y859">
        <f>V859-W859</f>
        <v>2013.375</v>
      </c>
      <c r="Z859" s="12">
        <f>Y859/V859</f>
        <v>0.16516117441930575</v>
      </c>
      <c r="AA859" t="s">
        <v>32</v>
      </c>
      <c r="AB859" t="s">
        <v>33</v>
      </c>
      <c r="AC859" s="14" t="s">
        <v>2794</v>
      </c>
      <c r="AD859" t="s">
        <v>2782</v>
      </c>
      <c r="AE859" t="str">
        <f>PROPER(TRIM(AB859))</f>
        <v>Completed</v>
      </c>
      <c r="AS859" t="str">
        <f t="shared" si="15"/>
        <v/>
      </c>
    </row>
    <row r="860" spans="1:45">
      <c r="A860" t="s">
        <v>2640</v>
      </c>
      <c r="B860" s="7">
        <v>45327</v>
      </c>
      <c r="C860" s="4">
        <v>45421</v>
      </c>
      <c r="D860">
        <f>C860-B860</f>
        <v>94</v>
      </c>
      <c r="E860" t="str">
        <f>TEXT(B860,"mmmm")</f>
        <v>February</v>
      </c>
      <c r="F860">
        <f>YEAR(B860)</f>
        <v>2024</v>
      </c>
      <c r="G860" t="s">
        <v>2641</v>
      </c>
      <c r="H860" t="s">
        <v>53</v>
      </c>
      <c r="I860" t="s">
        <v>24</v>
      </c>
      <c r="J860" t="s">
        <v>38</v>
      </c>
      <c r="K860" t="s">
        <v>39</v>
      </c>
      <c r="L860" t="s">
        <v>40</v>
      </c>
      <c r="M860" t="s">
        <v>74</v>
      </c>
      <c r="N860" t="s">
        <v>75</v>
      </c>
      <c r="O860" t="s">
        <v>2642</v>
      </c>
      <c r="P860" t="s">
        <v>31</v>
      </c>
      <c r="Q860">
        <v>4</v>
      </c>
      <c r="R860">
        <v>2904.86</v>
      </c>
      <c r="S860">
        <v>0</v>
      </c>
      <c r="T860" s="12">
        <f>S860</f>
        <v>0</v>
      </c>
      <c r="U860">
        <v>11619.44</v>
      </c>
      <c r="V860">
        <f>Q860*R860*(1-S860)</f>
        <v>11619.44</v>
      </c>
      <c r="W860">
        <v>7184.32</v>
      </c>
      <c r="X860">
        <v>4494.6400000000003</v>
      </c>
      <c r="Y860">
        <f>V860-W860</f>
        <v>4435.1200000000008</v>
      </c>
      <c r="Z860" s="12">
        <f>Y860/V860</f>
        <v>0.3816982574031107</v>
      </c>
      <c r="AA860" t="s">
        <v>32</v>
      </c>
      <c r="AB860" t="s">
        <v>33</v>
      </c>
      <c r="AC860" s="14" t="s">
        <v>2794</v>
      </c>
      <c r="AD860" t="s">
        <v>2782</v>
      </c>
      <c r="AE860" t="str">
        <f>PROPER(TRIM(AB860))</f>
        <v>Completed</v>
      </c>
      <c r="AS860" t="str">
        <f t="shared" si="15"/>
        <v/>
      </c>
    </row>
    <row r="861" spans="1:45">
      <c r="A861" t="s">
        <v>2643</v>
      </c>
      <c r="B861" s="7">
        <v>45592</v>
      </c>
      <c r="C861" s="4">
        <v>45597</v>
      </c>
      <c r="D861">
        <f>C861-B861</f>
        <v>5</v>
      </c>
      <c r="E861" t="str">
        <f>TEXT(B861,"mmmm")</f>
        <v>October</v>
      </c>
      <c r="F861">
        <f>YEAR(B861)</f>
        <v>2024</v>
      </c>
      <c r="G861" t="s">
        <v>2644</v>
      </c>
      <c r="H861" t="s">
        <v>89</v>
      </c>
      <c r="I861" t="s">
        <v>90</v>
      </c>
      <c r="J861" t="s">
        <v>54</v>
      </c>
      <c r="K861" t="s">
        <v>247</v>
      </c>
      <c r="L861" t="s">
        <v>248</v>
      </c>
      <c r="M861" t="s">
        <v>74</v>
      </c>
      <c r="N861" t="s">
        <v>171</v>
      </c>
      <c r="O861" t="s">
        <v>2645</v>
      </c>
      <c r="P861" t="s">
        <v>59</v>
      </c>
      <c r="Q861">
        <v>6</v>
      </c>
      <c r="R861">
        <v>4399.2</v>
      </c>
      <c r="S861">
        <v>0.05</v>
      </c>
      <c r="T861" s="12">
        <f>S861</f>
        <v>0.05</v>
      </c>
      <c r="U861">
        <v>25075.439999999999</v>
      </c>
      <c r="V861">
        <f>Q861*R861*(1-S861)</f>
        <v>25075.439999999995</v>
      </c>
      <c r="W861">
        <v>16282.74</v>
      </c>
      <c r="X861">
        <v>8792.7000000000007</v>
      </c>
      <c r="Y861">
        <f>V861-W861</f>
        <v>8792.6999999999953</v>
      </c>
      <c r="Z861" s="12">
        <f>Y861/V861</f>
        <v>0.35064987892535471</v>
      </c>
      <c r="AA861" t="s">
        <v>32</v>
      </c>
      <c r="AB861" t="s">
        <v>33</v>
      </c>
      <c r="AC861" s="14" t="s">
        <v>2794</v>
      </c>
      <c r="AD861" t="s">
        <v>2782</v>
      </c>
      <c r="AE861" t="str">
        <f>PROPER(TRIM(AB861))</f>
        <v>Completed</v>
      </c>
      <c r="AS861" t="str">
        <f t="shared" si="15"/>
        <v/>
      </c>
    </row>
    <row r="862" spans="1:45">
      <c r="A862" t="s">
        <v>2646</v>
      </c>
      <c r="B862" s="7">
        <v>45324</v>
      </c>
      <c r="C862" s="4">
        <v>45326</v>
      </c>
      <c r="D862">
        <f>C862-B862</f>
        <v>2</v>
      </c>
      <c r="E862" t="str">
        <f>TEXT(B862,"mmmm")</f>
        <v>February</v>
      </c>
      <c r="F862">
        <f>YEAR(B862)</f>
        <v>2024</v>
      </c>
      <c r="G862" t="s">
        <v>2647</v>
      </c>
      <c r="H862" t="s">
        <v>71</v>
      </c>
      <c r="I862" t="s">
        <v>95</v>
      </c>
      <c r="J862" t="s">
        <v>25</v>
      </c>
      <c r="K862" t="s">
        <v>136</v>
      </c>
      <c r="L862" t="s">
        <v>137</v>
      </c>
      <c r="M862" t="s">
        <v>28</v>
      </c>
      <c r="N862" t="s">
        <v>124</v>
      </c>
      <c r="O862" t="s">
        <v>2648</v>
      </c>
      <c r="P862" t="s">
        <v>31</v>
      </c>
      <c r="Q862">
        <v>1</v>
      </c>
      <c r="R862">
        <v>4397.32</v>
      </c>
      <c r="S862">
        <v>0.05</v>
      </c>
      <c r="T862" s="12">
        <f>S862</f>
        <v>0.05</v>
      </c>
      <c r="U862">
        <v>4177.45</v>
      </c>
      <c r="V862">
        <f>Q862*R862*(1-S862)</f>
        <v>4177.4539999999997</v>
      </c>
      <c r="W862">
        <v>2299.5</v>
      </c>
      <c r="X862">
        <v>1877.95</v>
      </c>
      <c r="Y862">
        <f>V862-W862</f>
        <v>1877.9539999999997</v>
      </c>
      <c r="Z862" s="12">
        <f>Y862/V862</f>
        <v>0.44954510570313877</v>
      </c>
      <c r="AA862" t="s">
        <v>32</v>
      </c>
      <c r="AB862" t="s">
        <v>33</v>
      </c>
      <c r="AC862" s="14" t="s">
        <v>2794</v>
      </c>
      <c r="AD862" t="s">
        <v>2782</v>
      </c>
      <c r="AE862" t="str">
        <f>PROPER(TRIM(AB862))</f>
        <v>Completed</v>
      </c>
      <c r="AS862" t="str">
        <f t="shared" si="15"/>
        <v/>
      </c>
    </row>
    <row r="863" spans="1:45">
      <c r="A863" t="s">
        <v>2649</v>
      </c>
      <c r="B863" s="7">
        <v>45724</v>
      </c>
      <c r="C863" s="4">
        <v>45725</v>
      </c>
      <c r="D863">
        <f>C863-B863</f>
        <v>1</v>
      </c>
      <c r="E863" t="str">
        <f>TEXT(B863,"mmmm")</f>
        <v>March</v>
      </c>
      <c r="F863">
        <f>YEAR(B863)</f>
        <v>2025</v>
      </c>
      <c r="G863" t="s">
        <v>2650</v>
      </c>
      <c r="H863" t="s">
        <v>114</v>
      </c>
      <c r="I863" t="s">
        <v>95</v>
      </c>
      <c r="J863" t="s">
        <v>25</v>
      </c>
      <c r="K863" t="s">
        <v>350</v>
      </c>
      <c r="L863" t="s">
        <v>351</v>
      </c>
      <c r="M863" t="s">
        <v>41</v>
      </c>
      <c r="N863" t="s">
        <v>57</v>
      </c>
      <c r="O863" t="s">
        <v>2651</v>
      </c>
      <c r="P863" t="s">
        <v>44</v>
      </c>
      <c r="Q863">
        <v>4</v>
      </c>
      <c r="R863">
        <v>3405.68</v>
      </c>
      <c r="S863">
        <v>0.2</v>
      </c>
      <c r="T863" s="12">
        <f>S863</f>
        <v>0.2</v>
      </c>
      <c r="U863">
        <v>10898.18</v>
      </c>
      <c r="V863">
        <f>Q863*R863*(1-S863)</f>
        <v>10898.175999999999</v>
      </c>
      <c r="W863">
        <v>6231.41</v>
      </c>
      <c r="X863">
        <v>4666.7700000000004</v>
      </c>
      <c r="Y863">
        <f>V863-W863</f>
        <v>4666.7659999999996</v>
      </c>
      <c r="Z863" s="12">
        <f>Y863/V863</f>
        <v>0.42821532704188298</v>
      </c>
      <c r="AA863" t="s">
        <v>32</v>
      </c>
      <c r="AB863" t="s">
        <v>33</v>
      </c>
      <c r="AC863" s="14" t="s">
        <v>2794</v>
      </c>
      <c r="AD863" t="s">
        <v>2782</v>
      </c>
      <c r="AE863" t="str">
        <f>PROPER(TRIM(AB863))</f>
        <v>Completed</v>
      </c>
      <c r="AS863" t="str">
        <f t="shared" si="15"/>
        <v/>
      </c>
    </row>
    <row r="864" spans="1:45">
      <c r="A864" t="s">
        <v>2652</v>
      </c>
      <c r="B864" s="7">
        <v>45742</v>
      </c>
      <c r="C864" s="4">
        <v>45747</v>
      </c>
      <c r="D864">
        <f>C864-B864</f>
        <v>5</v>
      </c>
      <c r="E864" t="str">
        <f>TEXT(B864,"mmmm")</f>
        <v>March</v>
      </c>
      <c r="F864">
        <f>YEAR(B864)</f>
        <v>2025</v>
      </c>
      <c r="G864" t="s">
        <v>2653</v>
      </c>
      <c r="H864" t="s">
        <v>114</v>
      </c>
      <c r="I864" t="s">
        <v>37</v>
      </c>
      <c r="J864" t="s">
        <v>38</v>
      </c>
      <c r="K864" t="s">
        <v>228</v>
      </c>
      <c r="L864" t="s">
        <v>229</v>
      </c>
      <c r="M864" t="s">
        <v>28</v>
      </c>
      <c r="N864" t="s">
        <v>153</v>
      </c>
      <c r="O864" t="s">
        <v>2654</v>
      </c>
      <c r="P864" t="s">
        <v>50</v>
      </c>
      <c r="Q864">
        <v>5</v>
      </c>
      <c r="R864">
        <v>1395.14</v>
      </c>
      <c r="S864">
        <v>0</v>
      </c>
      <c r="T864" s="12">
        <f>S864</f>
        <v>0</v>
      </c>
      <c r="U864">
        <v>6975.7</v>
      </c>
      <c r="V864">
        <f>Q864*R864*(1-S864)</f>
        <v>6975.7000000000007</v>
      </c>
      <c r="W864">
        <v>4797.88</v>
      </c>
      <c r="X864">
        <v>2177.8200000000002</v>
      </c>
      <c r="Y864">
        <f>V864-W864</f>
        <v>2177.8200000000006</v>
      </c>
      <c r="Z864" s="12">
        <f>Y864/V864</f>
        <v>0.3122009260719355</v>
      </c>
      <c r="AA864" t="s">
        <v>32</v>
      </c>
      <c r="AB864" t="s">
        <v>68</v>
      </c>
      <c r="AC864" s="14" t="s">
        <v>2794</v>
      </c>
      <c r="AD864" t="s">
        <v>2782</v>
      </c>
      <c r="AE864" t="str">
        <f>PROPER(TRIM(AB864))</f>
        <v>Cancelled</v>
      </c>
      <c r="AS864" t="str">
        <f t="shared" si="15"/>
        <v/>
      </c>
    </row>
    <row r="865" spans="1:45">
      <c r="A865" t="s">
        <v>2655</v>
      </c>
      <c r="B865" s="7">
        <v>45817</v>
      </c>
      <c r="C865" s="4">
        <v>45878</v>
      </c>
      <c r="D865">
        <f>C865-B865</f>
        <v>61</v>
      </c>
      <c r="E865" t="str">
        <f>TEXT(B865,"mmmm")</f>
        <v>June</v>
      </c>
      <c r="F865">
        <f>YEAR(B865)</f>
        <v>2025</v>
      </c>
      <c r="G865" t="s">
        <v>2656</v>
      </c>
      <c r="H865" t="s">
        <v>128</v>
      </c>
      <c r="I865" t="s">
        <v>95</v>
      </c>
      <c r="J865" t="s">
        <v>63</v>
      </c>
      <c r="K865" t="s">
        <v>72</v>
      </c>
      <c r="L865" t="s">
        <v>73</v>
      </c>
      <c r="M865" t="s">
        <v>41</v>
      </c>
      <c r="N865" t="s">
        <v>57</v>
      </c>
      <c r="O865" t="s">
        <v>2657</v>
      </c>
      <c r="P865" t="s">
        <v>44</v>
      </c>
      <c r="Q865">
        <v>3</v>
      </c>
      <c r="R865">
        <v>2937.23</v>
      </c>
      <c r="S865">
        <v>0</v>
      </c>
      <c r="T865" s="12">
        <f>S865</f>
        <v>0</v>
      </c>
      <c r="U865">
        <v>8811.69</v>
      </c>
      <c r="V865">
        <f>Q865*R865*(1-S865)</f>
        <v>8811.69</v>
      </c>
      <c r="W865">
        <v>6765.91</v>
      </c>
      <c r="X865">
        <v>2045.78</v>
      </c>
      <c r="Y865">
        <f>V865-W865</f>
        <v>2045.7800000000007</v>
      </c>
      <c r="Z865" s="12">
        <f>Y865/V865</f>
        <v>0.23216658779416893</v>
      </c>
      <c r="AA865" t="s">
        <v>32</v>
      </c>
      <c r="AB865" t="s">
        <v>33</v>
      </c>
      <c r="AC865" s="14" t="s">
        <v>2794</v>
      </c>
      <c r="AD865" t="s">
        <v>2782</v>
      </c>
      <c r="AE865" t="str">
        <f>PROPER(TRIM(AB865))</f>
        <v>Completed</v>
      </c>
      <c r="AS865" t="str">
        <f t="shared" si="15"/>
        <v/>
      </c>
    </row>
    <row r="866" spans="1:45">
      <c r="A866" t="s">
        <v>2658</v>
      </c>
      <c r="B866" s="7">
        <v>45902</v>
      </c>
      <c r="C866" s="4">
        <v>45905</v>
      </c>
      <c r="D866">
        <f>C866-B866</f>
        <v>3</v>
      </c>
      <c r="E866" t="str">
        <f>TEXT(B866,"mmmm")</f>
        <v>September</v>
      </c>
      <c r="F866">
        <f>YEAR(B866)</f>
        <v>2025</v>
      </c>
      <c r="G866" t="s">
        <v>2659</v>
      </c>
      <c r="H866" t="s">
        <v>71</v>
      </c>
      <c r="I866" t="s">
        <v>24</v>
      </c>
      <c r="J866" t="s">
        <v>54</v>
      </c>
      <c r="K866" t="s">
        <v>247</v>
      </c>
      <c r="L866" t="s">
        <v>248</v>
      </c>
      <c r="M866" t="s">
        <v>74</v>
      </c>
      <c r="N866" t="s">
        <v>171</v>
      </c>
      <c r="O866" t="s">
        <v>2660</v>
      </c>
      <c r="P866" t="s">
        <v>50</v>
      </c>
      <c r="Q866">
        <v>5</v>
      </c>
      <c r="R866">
        <v>3406.87</v>
      </c>
      <c r="S866">
        <v>0</v>
      </c>
      <c r="T866" s="12">
        <f>S866</f>
        <v>0</v>
      </c>
      <c r="U866">
        <v>17034.349999999999</v>
      </c>
      <c r="V866">
        <f>Q866*R866*(1-S866)</f>
        <v>17034.349999999999</v>
      </c>
      <c r="W866">
        <v>14631.36</v>
      </c>
      <c r="X866">
        <v>2402.9899999999998</v>
      </c>
      <c r="Y866">
        <f>V866-W866</f>
        <v>2402.989999999998</v>
      </c>
      <c r="Z866" s="12">
        <f>Y866/V866</f>
        <v>0.14106731398615141</v>
      </c>
      <c r="AA866" t="s">
        <v>32</v>
      </c>
      <c r="AB866" t="s">
        <v>33</v>
      </c>
      <c r="AC866" s="14" t="s">
        <v>2794</v>
      </c>
      <c r="AD866" t="s">
        <v>2782</v>
      </c>
      <c r="AE866" t="str">
        <f>PROPER(TRIM(AB866))</f>
        <v>Completed</v>
      </c>
      <c r="AS866" t="str">
        <f t="shared" si="15"/>
        <v/>
      </c>
    </row>
    <row r="867" spans="1:45">
      <c r="A867" t="s">
        <v>2661</v>
      </c>
      <c r="B867" s="7">
        <v>45694</v>
      </c>
      <c r="C867" s="4">
        <v>45702</v>
      </c>
      <c r="D867">
        <f>C867-B867</f>
        <v>8</v>
      </c>
      <c r="E867" t="str">
        <f>TEXT(B867,"mmmm")</f>
        <v>February</v>
      </c>
      <c r="F867">
        <f>YEAR(B867)</f>
        <v>2025</v>
      </c>
      <c r="G867" t="s">
        <v>2662</v>
      </c>
      <c r="H867" t="s">
        <v>264</v>
      </c>
      <c r="I867" t="s">
        <v>24</v>
      </c>
      <c r="J867" t="s">
        <v>63</v>
      </c>
      <c r="K867" t="s">
        <v>64</v>
      </c>
      <c r="L867" t="s">
        <v>65</v>
      </c>
      <c r="M867" t="s">
        <v>28</v>
      </c>
      <c r="N867" t="s">
        <v>91</v>
      </c>
      <c r="O867" t="s">
        <v>2663</v>
      </c>
      <c r="P867" t="s">
        <v>31</v>
      </c>
      <c r="Q867">
        <v>2</v>
      </c>
      <c r="R867">
        <v>3992.04</v>
      </c>
      <c r="S867">
        <v>0</v>
      </c>
      <c r="T867" s="12">
        <f>S867</f>
        <v>0</v>
      </c>
      <c r="U867">
        <v>7984.08</v>
      </c>
      <c r="V867">
        <f>Q867*R867*(1-S867)</f>
        <v>7984.08</v>
      </c>
      <c r="W867">
        <v>5658.05</v>
      </c>
      <c r="X867">
        <v>2326.0300000000002</v>
      </c>
      <c r="Y867">
        <f>V867-W867</f>
        <v>2326.0299999999997</v>
      </c>
      <c r="Z867" s="12">
        <f>Y867/V867</f>
        <v>0.29133350367230787</v>
      </c>
      <c r="AA867" t="s">
        <v>32</v>
      </c>
      <c r="AB867" t="s">
        <v>33</v>
      </c>
      <c r="AC867" s="14" t="s">
        <v>2794</v>
      </c>
      <c r="AD867" t="s">
        <v>2782</v>
      </c>
      <c r="AE867" t="str">
        <f>PROPER(TRIM(AB867))</f>
        <v>Completed</v>
      </c>
      <c r="AS867" t="str">
        <f t="shared" si="15"/>
        <v/>
      </c>
    </row>
    <row r="868" spans="1:45">
      <c r="A868" t="s">
        <v>2664</v>
      </c>
      <c r="B868" s="7">
        <v>45714</v>
      </c>
      <c r="C868" s="4">
        <v>45722</v>
      </c>
      <c r="D868">
        <f>C868-B868</f>
        <v>8</v>
      </c>
      <c r="E868" t="str">
        <f>TEXT(B868,"mmmm")</f>
        <v>February</v>
      </c>
      <c r="F868">
        <f>YEAR(B868)</f>
        <v>2025</v>
      </c>
      <c r="G868" t="s">
        <v>2665</v>
      </c>
      <c r="H868" t="s">
        <v>114</v>
      </c>
      <c r="I868" t="s">
        <v>24</v>
      </c>
      <c r="J868" t="s">
        <v>38</v>
      </c>
      <c r="K868" t="s">
        <v>145</v>
      </c>
      <c r="L868" t="s">
        <v>146</v>
      </c>
      <c r="M868" t="s">
        <v>41</v>
      </c>
      <c r="N868" t="s">
        <v>158</v>
      </c>
      <c r="O868" t="s">
        <v>2666</v>
      </c>
      <c r="P868" t="s">
        <v>50</v>
      </c>
      <c r="Q868">
        <v>9</v>
      </c>
      <c r="R868">
        <v>3043.37</v>
      </c>
      <c r="S868">
        <v>0.2</v>
      </c>
      <c r="T868" s="12">
        <f>S868</f>
        <v>0.2</v>
      </c>
      <c r="U868">
        <v>21912.26</v>
      </c>
      <c r="V868">
        <f>Q868*R868*(1-S868)</f>
        <v>21912.263999999999</v>
      </c>
      <c r="W868">
        <v>16367.78</v>
      </c>
      <c r="X868">
        <v>5544.48</v>
      </c>
      <c r="Y868">
        <f>V868-W868</f>
        <v>5544.4839999999986</v>
      </c>
      <c r="Z868" s="12">
        <f>Y868/V868</f>
        <v>0.25303108797885965</v>
      </c>
      <c r="AA868" t="s">
        <v>111</v>
      </c>
      <c r="AB868" t="s">
        <v>68</v>
      </c>
      <c r="AC868" s="14" t="s">
        <v>2794</v>
      </c>
      <c r="AD868" t="s">
        <v>2782</v>
      </c>
      <c r="AE868" t="str">
        <f>PROPER(TRIM(AB868))</f>
        <v>Cancelled</v>
      </c>
      <c r="AS868" t="str">
        <f t="shared" si="15"/>
        <v/>
      </c>
    </row>
    <row r="869" spans="1:45">
      <c r="A869" t="s">
        <v>2667</v>
      </c>
      <c r="B869" s="7">
        <v>45617</v>
      </c>
      <c r="C869" s="4">
        <v>45618</v>
      </c>
      <c r="D869">
        <f>C869-B869</f>
        <v>1</v>
      </c>
      <c r="E869" t="str">
        <f>TEXT(B869,"mmmm")</f>
        <v>November</v>
      </c>
      <c r="F869">
        <f>YEAR(B869)</f>
        <v>2024</v>
      </c>
      <c r="G869" t="s">
        <v>2668</v>
      </c>
      <c r="H869" t="s">
        <v>118</v>
      </c>
      <c r="I869" t="s">
        <v>95</v>
      </c>
      <c r="J869" t="s">
        <v>54</v>
      </c>
      <c r="K869" t="s">
        <v>84</v>
      </c>
      <c r="L869" t="s">
        <v>85</v>
      </c>
      <c r="M869" t="s">
        <v>74</v>
      </c>
      <c r="N869" t="s">
        <v>75</v>
      </c>
      <c r="O869" t="s">
        <v>2669</v>
      </c>
      <c r="P869" t="s">
        <v>44</v>
      </c>
      <c r="Q869">
        <v>6</v>
      </c>
      <c r="R869">
        <v>1043.49</v>
      </c>
      <c r="S869">
        <v>0.25</v>
      </c>
      <c r="T869" s="12">
        <f>S869</f>
        <v>0.25</v>
      </c>
      <c r="U869">
        <v>4695.7</v>
      </c>
      <c r="V869">
        <f>Q869*R869*(1-S869)</f>
        <v>4695.7049999999999</v>
      </c>
      <c r="W869">
        <v>3871.69</v>
      </c>
      <c r="X869">
        <v>824.01</v>
      </c>
      <c r="Y869">
        <f>V869-W869</f>
        <v>824.01499999999987</v>
      </c>
      <c r="Z869" s="12">
        <f>Y869/V869</f>
        <v>0.17548270174553127</v>
      </c>
      <c r="AA869" t="s">
        <v>155</v>
      </c>
      <c r="AB869" t="s">
        <v>68</v>
      </c>
      <c r="AC869" s="14" t="s">
        <v>2794</v>
      </c>
      <c r="AD869" t="s">
        <v>2782</v>
      </c>
      <c r="AE869" t="str">
        <f>PROPER(TRIM(AB869))</f>
        <v>Cancelled</v>
      </c>
      <c r="AS869" t="str">
        <f t="shared" si="15"/>
        <v/>
      </c>
    </row>
    <row r="870" spans="1:45">
      <c r="A870" t="s">
        <v>2670</v>
      </c>
      <c r="B870" s="7">
        <v>45758</v>
      </c>
      <c r="C870" s="4">
        <v>45762</v>
      </c>
      <c r="D870">
        <f>C870-B870</f>
        <v>4</v>
      </c>
      <c r="E870" t="str">
        <f>TEXT(B870,"mmmm")</f>
        <v>April</v>
      </c>
      <c r="F870">
        <f>YEAR(B870)</f>
        <v>2025</v>
      </c>
      <c r="G870" t="s">
        <v>2671</v>
      </c>
      <c r="H870" t="s">
        <v>71</v>
      </c>
      <c r="I870" t="s">
        <v>95</v>
      </c>
      <c r="J870" t="s">
        <v>54</v>
      </c>
      <c r="K870" t="s">
        <v>175</v>
      </c>
      <c r="L870" t="s">
        <v>176</v>
      </c>
      <c r="M870" t="s">
        <v>28</v>
      </c>
      <c r="N870" t="s">
        <v>124</v>
      </c>
      <c r="O870" t="s">
        <v>2672</v>
      </c>
      <c r="P870" t="s">
        <v>44</v>
      </c>
      <c r="Q870">
        <v>9</v>
      </c>
      <c r="R870">
        <v>224.94</v>
      </c>
      <c r="S870">
        <v>0.05</v>
      </c>
      <c r="T870" s="12">
        <f>S870</f>
        <v>0.05</v>
      </c>
      <c r="U870">
        <v>1923.24</v>
      </c>
      <c r="V870">
        <f>Q870*R870*(1-S870)</f>
        <v>1923.2369999999999</v>
      </c>
      <c r="W870">
        <v>1093.6600000000001</v>
      </c>
      <c r="X870">
        <v>829.58</v>
      </c>
      <c r="Y870">
        <f>V870-W870</f>
        <v>829.57699999999977</v>
      </c>
      <c r="Z870" s="12">
        <f>Y870/V870</f>
        <v>0.43134413491420964</v>
      </c>
      <c r="AA870" t="s">
        <v>32</v>
      </c>
      <c r="AB870" t="s">
        <v>33</v>
      </c>
      <c r="AC870" s="14" t="s">
        <v>2794</v>
      </c>
      <c r="AD870" t="s">
        <v>2782</v>
      </c>
      <c r="AE870" t="str">
        <f>PROPER(TRIM(AB870))</f>
        <v>Completed</v>
      </c>
      <c r="AS870" t="str">
        <f t="shared" si="15"/>
        <v/>
      </c>
    </row>
    <row r="871" spans="1:45">
      <c r="A871" t="s">
        <v>2673</v>
      </c>
      <c r="B871" s="7">
        <v>45811</v>
      </c>
      <c r="C871" s="4">
        <v>45723</v>
      </c>
      <c r="D871" s="10">
        <f>C871-B871</f>
        <v>-88</v>
      </c>
      <c r="E871" t="str">
        <f>TEXT(B871,"mmmm")</f>
        <v>June</v>
      </c>
      <c r="F871">
        <f>YEAR(B871)</f>
        <v>2025</v>
      </c>
      <c r="G871" t="s">
        <v>2674</v>
      </c>
      <c r="H871" t="s">
        <v>141</v>
      </c>
      <c r="I871" t="s">
        <v>95</v>
      </c>
      <c r="J871" t="s">
        <v>2783</v>
      </c>
      <c r="K871" t="s">
        <v>350</v>
      </c>
      <c r="L871" t="s">
        <v>351</v>
      </c>
      <c r="M871" t="s">
        <v>41</v>
      </c>
      <c r="N871" t="s">
        <v>66</v>
      </c>
      <c r="O871" t="s">
        <v>1145</v>
      </c>
      <c r="P871" t="s">
        <v>44</v>
      </c>
      <c r="Q871">
        <v>6</v>
      </c>
      <c r="R871">
        <v>796.65</v>
      </c>
      <c r="S871">
        <v>0.1</v>
      </c>
      <c r="T871" s="12">
        <f>S871</f>
        <v>0.1</v>
      </c>
      <c r="U871">
        <v>4301.91</v>
      </c>
      <c r="V871">
        <f>Q871*R871*(1-S871)</f>
        <v>4301.91</v>
      </c>
      <c r="W871">
        <v>2374.4</v>
      </c>
      <c r="X871">
        <v>1927.51</v>
      </c>
      <c r="Y871">
        <f>V871-W871</f>
        <v>1927.5099999999998</v>
      </c>
      <c r="Z871" s="12">
        <f>Y871/V871</f>
        <v>0.44805911792668834</v>
      </c>
      <c r="AA871" t="s">
        <v>32</v>
      </c>
      <c r="AB871" t="s">
        <v>33</v>
      </c>
      <c r="AC871" s="10" t="s">
        <v>2796</v>
      </c>
      <c r="AD871" t="s">
        <v>2782</v>
      </c>
      <c r="AE871" t="str">
        <f>PROPER(TRIM(AB871))</f>
        <v>Completed</v>
      </c>
      <c r="AS871" t="str">
        <f t="shared" si="15"/>
        <v/>
      </c>
    </row>
    <row r="872" spans="1:45">
      <c r="A872" t="s">
        <v>2675</v>
      </c>
      <c r="B872" s="7">
        <v>45814</v>
      </c>
      <c r="C872" s="4">
        <v>45815</v>
      </c>
      <c r="D872">
        <f>C872-B872</f>
        <v>1</v>
      </c>
      <c r="E872" t="str">
        <f>TEXT(B872,"mmmm")</f>
        <v>June</v>
      </c>
      <c r="F872">
        <f>YEAR(B872)</f>
        <v>2025</v>
      </c>
      <c r="G872" t="s">
        <v>2676</v>
      </c>
      <c r="H872" t="s">
        <v>71</v>
      </c>
      <c r="I872" t="s">
        <v>90</v>
      </c>
      <c r="J872" t="s">
        <v>63</v>
      </c>
      <c r="K872" t="s">
        <v>190</v>
      </c>
      <c r="L872" t="s">
        <v>191</v>
      </c>
      <c r="M872" t="s">
        <v>41</v>
      </c>
      <c r="N872" t="s">
        <v>42</v>
      </c>
      <c r="O872" t="s">
        <v>2677</v>
      </c>
      <c r="P872" t="s">
        <v>59</v>
      </c>
      <c r="Q872">
        <v>9</v>
      </c>
      <c r="R872">
        <v>2932.92</v>
      </c>
      <c r="S872">
        <v>0.15</v>
      </c>
      <c r="T872" s="12">
        <f>S872</f>
        <v>0.15</v>
      </c>
      <c r="U872">
        <v>22436.84</v>
      </c>
      <c r="V872">
        <f>Q872*R872*(1-S872)</f>
        <v>22436.838</v>
      </c>
      <c r="W872">
        <v>17454.669999999998</v>
      </c>
      <c r="X872">
        <v>4982.17</v>
      </c>
      <c r="Y872">
        <f>V872-W872</f>
        <v>4982.1680000000015</v>
      </c>
      <c r="Z872" s="12">
        <f>Y872/V872</f>
        <v>0.22205303617203109</v>
      </c>
      <c r="AA872" t="s">
        <v>32</v>
      </c>
      <c r="AB872" t="s">
        <v>68</v>
      </c>
      <c r="AC872" s="14" t="s">
        <v>2794</v>
      </c>
      <c r="AD872" t="s">
        <v>2782</v>
      </c>
      <c r="AE872" t="str">
        <f>PROPER(TRIM(AB872))</f>
        <v>Cancelled</v>
      </c>
      <c r="AS872" t="str">
        <f t="shared" si="15"/>
        <v/>
      </c>
    </row>
    <row r="873" spans="1:45">
      <c r="A873" t="s">
        <v>2678</v>
      </c>
      <c r="B873" s="7">
        <v>45342</v>
      </c>
      <c r="C873" s="4">
        <v>45344</v>
      </c>
      <c r="D873">
        <f>C873-B873</f>
        <v>2</v>
      </c>
      <c r="E873" t="str">
        <f>TEXT(B873,"mmmm")</f>
        <v>February</v>
      </c>
      <c r="F873">
        <f>YEAR(B873)</f>
        <v>2024</v>
      </c>
      <c r="G873" t="s">
        <v>2549</v>
      </c>
      <c r="H873" t="s">
        <v>79</v>
      </c>
      <c r="I873" t="s">
        <v>37</v>
      </c>
      <c r="J873" t="s">
        <v>54</v>
      </c>
      <c r="K873" t="s">
        <v>55</v>
      </c>
      <c r="L873" t="s">
        <v>56</v>
      </c>
      <c r="M873" t="s">
        <v>74</v>
      </c>
      <c r="N873" t="s">
        <v>75</v>
      </c>
      <c r="O873" t="s">
        <v>2679</v>
      </c>
      <c r="P873" t="s">
        <v>50</v>
      </c>
      <c r="Q873">
        <v>9</v>
      </c>
      <c r="R873">
        <v>2186.23</v>
      </c>
      <c r="S873">
        <v>0</v>
      </c>
      <c r="T873" s="12">
        <f>S873</f>
        <v>0</v>
      </c>
      <c r="U873">
        <v>19676.07</v>
      </c>
      <c r="V873">
        <f>Q873*R873*(1-S873)</f>
        <v>19676.07</v>
      </c>
      <c r="W873">
        <v>12458.62</v>
      </c>
      <c r="X873">
        <v>7217.45</v>
      </c>
      <c r="Y873">
        <f>V873-W873</f>
        <v>7217.4499999999989</v>
      </c>
      <c r="Z873" s="12">
        <f>Y873/V873</f>
        <v>0.36681359641432454</v>
      </c>
      <c r="AA873" t="s">
        <v>102</v>
      </c>
      <c r="AB873" t="s">
        <v>68</v>
      </c>
      <c r="AC873" s="14" t="s">
        <v>2794</v>
      </c>
      <c r="AD873" t="s">
        <v>2782</v>
      </c>
      <c r="AE873" t="str">
        <f>PROPER(TRIM(AB873))</f>
        <v>Cancelled</v>
      </c>
      <c r="AS873" t="str">
        <f t="shared" si="15"/>
        <v/>
      </c>
    </row>
    <row r="874" spans="1:45">
      <c r="A874" t="s">
        <v>2680</v>
      </c>
      <c r="B874" s="7">
        <v>45302</v>
      </c>
      <c r="C874" s="4">
        <v>45598</v>
      </c>
      <c r="D874">
        <f>C874-B874</f>
        <v>296</v>
      </c>
      <c r="E874" t="str">
        <f>TEXT(B874,"mmmm")</f>
        <v>January</v>
      </c>
      <c r="F874">
        <f>YEAR(B874)</f>
        <v>2024</v>
      </c>
      <c r="G874" t="s">
        <v>1958</v>
      </c>
      <c r="H874" t="s">
        <v>23</v>
      </c>
      <c r="I874" t="s">
        <v>90</v>
      </c>
      <c r="J874" t="s">
        <v>38</v>
      </c>
      <c r="K874" t="s">
        <v>99</v>
      </c>
      <c r="L874" t="s">
        <v>100</v>
      </c>
      <c r="M874" t="s">
        <v>41</v>
      </c>
      <c r="N874" t="s">
        <v>57</v>
      </c>
      <c r="O874" t="s">
        <v>2681</v>
      </c>
      <c r="P874" t="s">
        <v>59</v>
      </c>
      <c r="Q874">
        <v>5</v>
      </c>
      <c r="R874">
        <v>2212.02</v>
      </c>
      <c r="S874">
        <v>0.2</v>
      </c>
      <c r="T874" s="12">
        <f>S874</f>
        <v>0.2</v>
      </c>
      <c r="U874">
        <v>8848.08</v>
      </c>
      <c r="V874">
        <f>Q874*R874*(1-S874)</f>
        <v>8848.08</v>
      </c>
      <c r="W874">
        <v>5691.56</v>
      </c>
      <c r="X874">
        <v>3156.52</v>
      </c>
      <c r="Y874">
        <f>V874-W874</f>
        <v>3156.5199999999995</v>
      </c>
      <c r="Z874" s="12">
        <f>Y874/V874</f>
        <v>0.35674632236598219</v>
      </c>
      <c r="AA874" t="s">
        <v>32</v>
      </c>
      <c r="AB874" t="s">
        <v>33</v>
      </c>
      <c r="AC874" s="14" t="s">
        <v>2794</v>
      </c>
      <c r="AD874" t="s">
        <v>2782</v>
      </c>
      <c r="AE874" t="str">
        <f>PROPER(TRIM(AB874))</f>
        <v>Completed</v>
      </c>
      <c r="AS874" t="str">
        <f t="shared" si="15"/>
        <v/>
      </c>
    </row>
    <row r="875" spans="1:45">
      <c r="A875" t="s">
        <v>2682</v>
      </c>
      <c r="B875" s="7">
        <v>45689</v>
      </c>
      <c r="C875" s="4">
        <v>45696</v>
      </c>
      <c r="D875">
        <f>C875-B875</f>
        <v>7</v>
      </c>
      <c r="E875" t="str">
        <f>TEXT(B875,"mmmm")</f>
        <v>February</v>
      </c>
      <c r="F875">
        <f>YEAR(B875)</f>
        <v>2025</v>
      </c>
      <c r="G875" t="s">
        <v>2683</v>
      </c>
      <c r="H875" t="s">
        <v>89</v>
      </c>
      <c r="I875" t="s">
        <v>95</v>
      </c>
      <c r="J875" t="s">
        <v>63</v>
      </c>
      <c r="K875" t="s">
        <v>180</v>
      </c>
      <c r="L875" t="s">
        <v>181</v>
      </c>
      <c r="M875" t="s">
        <v>28</v>
      </c>
      <c r="N875" t="s">
        <v>124</v>
      </c>
      <c r="O875" t="s">
        <v>2684</v>
      </c>
      <c r="P875" t="s">
        <v>31</v>
      </c>
      <c r="Q875">
        <v>8</v>
      </c>
      <c r="R875">
        <v>623.30999999999995</v>
      </c>
      <c r="S875">
        <v>0.1</v>
      </c>
      <c r="T875" s="12">
        <f>S875</f>
        <v>0.1</v>
      </c>
      <c r="U875">
        <v>4487.83</v>
      </c>
      <c r="V875">
        <f>Q875*R875*(1-S875)</f>
        <v>4487.8319999999994</v>
      </c>
      <c r="W875">
        <v>2633.78</v>
      </c>
      <c r="X875">
        <v>1854.05</v>
      </c>
      <c r="Y875">
        <f>V875-W875</f>
        <v>1854.0519999999992</v>
      </c>
      <c r="Z875" s="12">
        <f>Y875/V875</f>
        <v>0.41312865543986482</v>
      </c>
      <c r="AA875" t="s">
        <v>32</v>
      </c>
      <c r="AB875" t="s">
        <v>33</v>
      </c>
      <c r="AC875" s="14" t="s">
        <v>2794</v>
      </c>
      <c r="AD875" t="s">
        <v>2782</v>
      </c>
      <c r="AE875" t="str">
        <f>PROPER(TRIM(AB875))</f>
        <v>Completed</v>
      </c>
      <c r="AS875" t="str">
        <f t="shared" si="15"/>
        <v/>
      </c>
    </row>
    <row r="876" spans="1:45">
      <c r="A876" t="s">
        <v>2685</v>
      </c>
      <c r="B876" s="7">
        <v>45853</v>
      </c>
      <c r="C876" s="4">
        <v>45854</v>
      </c>
      <c r="D876">
        <f>C876-B876</f>
        <v>1</v>
      </c>
      <c r="E876" t="str">
        <f>TEXT(B876,"mmmm")</f>
        <v>July</v>
      </c>
      <c r="F876">
        <f>YEAR(B876)</f>
        <v>2025</v>
      </c>
      <c r="G876" t="s">
        <v>2686</v>
      </c>
      <c r="H876" t="s">
        <v>71</v>
      </c>
      <c r="I876" t="s">
        <v>37</v>
      </c>
      <c r="J876" t="s">
        <v>63</v>
      </c>
      <c r="K876" t="s">
        <v>64</v>
      </c>
      <c r="L876" t="s">
        <v>65</v>
      </c>
      <c r="M876" t="s">
        <v>28</v>
      </c>
      <c r="N876" t="s">
        <v>29</v>
      </c>
      <c r="O876" t="s">
        <v>2687</v>
      </c>
      <c r="P876" t="s">
        <v>59</v>
      </c>
      <c r="Q876">
        <v>8</v>
      </c>
      <c r="R876">
        <v>3924.88</v>
      </c>
      <c r="S876">
        <v>0.05</v>
      </c>
      <c r="T876" s="12">
        <f>S876</f>
        <v>0.05</v>
      </c>
      <c r="U876">
        <v>29829.09</v>
      </c>
      <c r="V876">
        <f>Q876*R876*(1-S876)</f>
        <v>29829.088</v>
      </c>
      <c r="W876">
        <v>20710.18</v>
      </c>
      <c r="X876">
        <v>9118.91</v>
      </c>
      <c r="Y876">
        <f>V876-W876</f>
        <v>9118.9079999999994</v>
      </c>
      <c r="Z876" s="12">
        <f>Y876/V876</f>
        <v>0.30570522303598419</v>
      </c>
      <c r="AA876" t="s">
        <v>32</v>
      </c>
      <c r="AB876" t="s">
        <v>33</v>
      </c>
      <c r="AC876" s="14" t="s">
        <v>2794</v>
      </c>
      <c r="AD876" t="s">
        <v>2782</v>
      </c>
      <c r="AE876" t="str">
        <f>PROPER(TRIM(AB876))</f>
        <v>Completed</v>
      </c>
      <c r="AS876" t="str">
        <f t="shared" si="15"/>
        <v/>
      </c>
    </row>
    <row r="877" spans="1:45">
      <c r="A877" t="s">
        <v>2688</v>
      </c>
      <c r="B877" s="7">
        <v>45514</v>
      </c>
      <c r="C877" s="4">
        <v>45604</v>
      </c>
      <c r="D877">
        <f>C877-B877</f>
        <v>90</v>
      </c>
      <c r="E877" t="str">
        <f>TEXT(B877,"mmmm")</f>
        <v>August</v>
      </c>
      <c r="F877">
        <f>YEAR(B877)</f>
        <v>2024</v>
      </c>
      <c r="G877" t="s">
        <v>2689</v>
      </c>
      <c r="H877" t="s">
        <v>36</v>
      </c>
      <c r="I877" t="s">
        <v>90</v>
      </c>
      <c r="J877" t="s">
        <v>63</v>
      </c>
      <c r="K877" t="s">
        <v>64</v>
      </c>
      <c r="L877" t="s">
        <v>65</v>
      </c>
      <c r="M877" t="s">
        <v>74</v>
      </c>
      <c r="N877" t="s">
        <v>80</v>
      </c>
      <c r="O877" t="s">
        <v>2690</v>
      </c>
      <c r="P877" t="s">
        <v>50</v>
      </c>
      <c r="Q877">
        <v>7</v>
      </c>
      <c r="R877">
        <v>3852.62</v>
      </c>
      <c r="S877">
        <v>0.2</v>
      </c>
      <c r="T877" s="12">
        <f>S877</f>
        <v>0.2</v>
      </c>
      <c r="U877">
        <v>21574.67</v>
      </c>
      <c r="V877">
        <f>Q877*R877*(1-S877)</f>
        <v>21574.672000000002</v>
      </c>
      <c r="W877">
        <v>14672.83</v>
      </c>
      <c r="X877">
        <v>6901.84</v>
      </c>
      <c r="Y877">
        <f>V877-W877</f>
        <v>6901.8420000000024</v>
      </c>
      <c r="Z877" s="12">
        <f>Y877/V877</f>
        <v>0.31990484026825539</v>
      </c>
      <c r="AA877" t="s">
        <v>32</v>
      </c>
      <c r="AB877" t="s">
        <v>33</v>
      </c>
      <c r="AC877" s="14" t="s">
        <v>2794</v>
      </c>
      <c r="AD877" t="s">
        <v>2782</v>
      </c>
      <c r="AE877" t="str">
        <f>PROPER(TRIM(AB877))</f>
        <v>Completed</v>
      </c>
      <c r="AS877" t="str">
        <f t="shared" si="15"/>
        <v/>
      </c>
    </row>
    <row r="878" spans="1:45">
      <c r="A878" t="s">
        <v>2691</v>
      </c>
      <c r="B878" s="7">
        <v>45614</v>
      </c>
      <c r="C878" s="4">
        <v>45616</v>
      </c>
      <c r="D878">
        <f>C878-B878</f>
        <v>2</v>
      </c>
      <c r="E878" t="str">
        <f>TEXT(B878,"mmmm")</f>
        <v>November</v>
      </c>
      <c r="F878">
        <f>YEAR(B878)</f>
        <v>2024</v>
      </c>
      <c r="G878" t="s">
        <v>2692</v>
      </c>
      <c r="H878" t="s">
        <v>114</v>
      </c>
      <c r="I878" t="s">
        <v>24</v>
      </c>
      <c r="J878" t="s">
        <v>63</v>
      </c>
      <c r="K878" t="s">
        <v>26</v>
      </c>
      <c r="L878" t="s">
        <v>109</v>
      </c>
      <c r="M878" t="s">
        <v>41</v>
      </c>
      <c r="N878" t="s">
        <v>66</v>
      </c>
      <c r="O878" t="s">
        <v>843</v>
      </c>
      <c r="P878" t="s">
        <v>50</v>
      </c>
      <c r="Q878">
        <v>6</v>
      </c>
      <c r="R878">
        <v>3790.22</v>
      </c>
      <c r="S878">
        <v>0</v>
      </c>
      <c r="T878" s="12">
        <f>S878</f>
        <v>0</v>
      </c>
      <c r="U878">
        <v>22741.32</v>
      </c>
      <c r="V878">
        <f>Q878*R878*(1-S878)</f>
        <v>22741.32</v>
      </c>
      <c r="W878">
        <v>16388.57</v>
      </c>
      <c r="X878">
        <v>6352.75</v>
      </c>
      <c r="Y878">
        <f>V878-W878</f>
        <v>6352.75</v>
      </c>
      <c r="Z878" s="12">
        <f>Y878/V878</f>
        <v>0.27934834037777928</v>
      </c>
      <c r="AA878" t="s">
        <v>32</v>
      </c>
      <c r="AB878" t="s">
        <v>33</v>
      </c>
      <c r="AC878" s="14" t="s">
        <v>2794</v>
      </c>
      <c r="AD878" t="s">
        <v>2782</v>
      </c>
      <c r="AE878" t="str">
        <f>PROPER(TRIM(AB878))</f>
        <v>Completed</v>
      </c>
      <c r="AS878" t="str">
        <f t="shared" si="15"/>
        <v/>
      </c>
    </row>
    <row r="879" spans="1:45">
      <c r="A879" t="s">
        <v>2693</v>
      </c>
      <c r="B879" s="7">
        <v>45895</v>
      </c>
      <c r="C879" s="4">
        <v>45903</v>
      </c>
      <c r="D879">
        <f>C879-B879</f>
        <v>8</v>
      </c>
      <c r="E879" t="str">
        <f>TEXT(B879,"mmmm")</f>
        <v>August</v>
      </c>
      <c r="F879">
        <f>YEAR(B879)</f>
        <v>2025</v>
      </c>
      <c r="G879" t="s">
        <v>2694</v>
      </c>
      <c r="H879" t="s">
        <v>128</v>
      </c>
      <c r="I879" t="s">
        <v>24</v>
      </c>
      <c r="J879" t="s">
        <v>63</v>
      </c>
      <c r="K879" t="s">
        <v>26</v>
      </c>
      <c r="L879" t="s">
        <v>109</v>
      </c>
      <c r="M879" t="s">
        <v>28</v>
      </c>
      <c r="N879" t="s">
        <v>124</v>
      </c>
      <c r="O879" t="s">
        <v>2695</v>
      </c>
      <c r="P879" t="s">
        <v>31</v>
      </c>
      <c r="Q879">
        <v>6</v>
      </c>
      <c r="R879">
        <v>674.36</v>
      </c>
      <c r="S879">
        <v>0.1</v>
      </c>
      <c r="T879" s="12">
        <f>S879</f>
        <v>0.1</v>
      </c>
      <c r="U879">
        <v>3641.54</v>
      </c>
      <c r="V879">
        <f>Q879*R879*(1-S879)</f>
        <v>3641.5439999999999</v>
      </c>
      <c r="W879">
        <v>2690.37</v>
      </c>
      <c r="X879">
        <v>951.17</v>
      </c>
      <c r="Y879">
        <f>V879-W879</f>
        <v>951.17399999999998</v>
      </c>
      <c r="Z879" s="12">
        <f>Y879/V879</f>
        <v>0.26120074342092253</v>
      </c>
      <c r="AA879" t="s">
        <v>32</v>
      </c>
      <c r="AB879" t="s">
        <v>33</v>
      </c>
      <c r="AC879" s="14" t="s">
        <v>2794</v>
      </c>
      <c r="AD879" t="s">
        <v>2782</v>
      </c>
      <c r="AE879" t="str">
        <f>PROPER(TRIM(AB879))</f>
        <v>Completed</v>
      </c>
      <c r="AS879" t="str">
        <f t="shared" si="15"/>
        <v/>
      </c>
    </row>
    <row r="880" spans="1:45">
      <c r="A880" t="s">
        <v>2696</v>
      </c>
      <c r="B880" s="7">
        <v>45313</v>
      </c>
      <c r="C880" s="4">
        <v>45313</v>
      </c>
      <c r="D880">
        <f>C880-B880</f>
        <v>0</v>
      </c>
      <c r="E880" t="str">
        <f>TEXT(B880,"mmmm")</f>
        <v>January</v>
      </c>
      <c r="F880">
        <f>YEAR(B880)</f>
        <v>2024</v>
      </c>
      <c r="G880" t="s">
        <v>2697</v>
      </c>
      <c r="H880" t="s">
        <v>23</v>
      </c>
      <c r="I880" t="s">
        <v>90</v>
      </c>
      <c r="J880" t="s">
        <v>38</v>
      </c>
      <c r="K880" t="s">
        <v>99</v>
      </c>
      <c r="L880" t="s">
        <v>100</v>
      </c>
      <c r="M880" t="s">
        <v>28</v>
      </c>
      <c r="N880" t="s">
        <v>29</v>
      </c>
      <c r="O880" t="s">
        <v>2698</v>
      </c>
      <c r="P880" t="s">
        <v>50</v>
      </c>
      <c r="Q880">
        <v>8</v>
      </c>
      <c r="R880">
        <v>1557.21</v>
      </c>
      <c r="S880">
        <v>0.05</v>
      </c>
      <c r="T880" s="12">
        <f>S880</f>
        <v>0.05</v>
      </c>
      <c r="U880">
        <v>11834.8</v>
      </c>
      <c r="V880">
        <f>Q880*R880*(1-S880)</f>
        <v>11834.796</v>
      </c>
      <c r="W880">
        <v>9322.36</v>
      </c>
      <c r="X880">
        <v>2512.44</v>
      </c>
      <c r="Y880">
        <f>V880-W880</f>
        <v>2512.4359999999997</v>
      </c>
      <c r="Z880" s="12">
        <f>Y880/V880</f>
        <v>0.21229229468763125</v>
      </c>
      <c r="AA880" t="s">
        <v>32</v>
      </c>
      <c r="AB880" t="s">
        <v>33</v>
      </c>
      <c r="AC880" s="14" t="s">
        <v>2794</v>
      </c>
      <c r="AD880" t="s">
        <v>2782</v>
      </c>
      <c r="AE880" t="str">
        <f>PROPER(TRIM(AB880))</f>
        <v>Completed</v>
      </c>
      <c r="AS880" t="str">
        <f t="shared" si="15"/>
        <v/>
      </c>
    </row>
    <row r="881" spans="1:45">
      <c r="A881" t="s">
        <v>2699</v>
      </c>
      <c r="B881" s="7">
        <v>45896</v>
      </c>
      <c r="C881" s="4">
        <v>45897</v>
      </c>
      <c r="D881">
        <f>C881-B881</f>
        <v>1</v>
      </c>
      <c r="E881" t="str">
        <f>TEXT(B881,"mmmm")</f>
        <v>August</v>
      </c>
      <c r="F881">
        <f>YEAR(B881)</f>
        <v>2025</v>
      </c>
      <c r="G881" t="s">
        <v>2700</v>
      </c>
      <c r="H881" t="s">
        <v>62</v>
      </c>
      <c r="I881" t="s">
        <v>95</v>
      </c>
      <c r="J881" t="s">
        <v>25</v>
      </c>
      <c r="K881" t="s">
        <v>136</v>
      </c>
      <c r="L881" t="s">
        <v>137</v>
      </c>
      <c r="M881" t="s">
        <v>28</v>
      </c>
      <c r="N881" t="s">
        <v>48</v>
      </c>
      <c r="O881" t="s">
        <v>2701</v>
      </c>
      <c r="P881" t="s">
        <v>59</v>
      </c>
      <c r="Q881">
        <v>6</v>
      </c>
      <c r="R881">
        <v>1182.03</v>
      </c>
      <c r="S881">
        <v>0.15</v>
      </c>
      <c r="T881" s="12">
        <f>S881</f>
        <v>0.15</v>
      </c>
      <c r="U881">
        <v>6028.35</v>
      </c>
      <c r="V881">
        <f>Q881*R881*(1-S881)</f>
        <v>6028.3530000000001</v>
      </c>
      <c r="W881">
        <v>4433.63</v>
      </c>
      <c r="X881">
        <v>1594.72</v>
      </c>
      <c r="Y881">
        <f>V881-W881</f>
        <v>1594.723</v>
      </c>
      <c r="Z881" s="12">
        <f>Y881/V881</f>
        <v>0.26453709661660491</v>
      </c>
      <c r="AA881" t="s">
        <v>32</v>
      </c>
      <c r="AB881" t="s">
        <v>33</v>
      </c>
      <c r="AC881" s="14" t="s">
        <v>2794</v>
      </c>
      <c r="AD881" t="s">
        <v>2782</v>
      </c>
      <c r="AE881" t="str">
        <f>PROPER(TRIM(AB881))</f>
        <v>Completed</v>
      </c>
      <c r="AS881" t="str">
        <f t="shared" si="15"/>
        <v/>
      </c>
    </row>
    <row r="882" spans="1:45">
      <c r="A882" t="s">
        <v>2702</v>
      </c>
      <c r="B882" s="7">
        <v>45359</v>
      </c>
      <c r="C882" s="4">
        <v>45366</v>
      </c>
      <c r="D882">
        <f>C882-B882</f>
        <v>7</v>
      </c>
      <c r="E882" t="str">
        <f>TEXT(B882,"mmmm")</f>
        <v>March</v>
      </c>
      <c r="F882">
        <f>YEAR(B882)</f>
        <v>2024</v>
      </c>
      <c r="G882" t="s">
        <v>2703</v>
      </c>
      <c r="H882" t="s">
        <v>128</v>
      </c>
      <c r="I882" t="s">
        <v>37</v>
      </c>
      <c r="J882" t="s">
        <v>2783</v>
      </c>
      <c r="K882" t="s">
        <v>122</v>
      </c>
      <c r="L882" t="s">
        <v>123</v>
      </c>
      <c r="M882" t="s">
        <v>41</v>
      </c>
      <c r="N882" t="s">
        <v>66</v>
      </c>
      <c r="O882" t="s">
        <v>2704</v>
      </c>
      <c r="P882" t="s">
        <v>50</v>
      </c>
      <c r="Q882">
        <v>5</v>
      </c>
      <c r="R882">
        <v>3234.77</v>
      </c>
      <c r="S882">
        <v>0</v>
      </c>
      <c r="T882" s="12">
        <f>S882</f>
        <v>0</v>
      </c>
      <c r="U882">
        <v>16173.85</v>
      </c>
      <c r="V882">
        <f>Q882*R882*(1-S882)</f>
        <v>16173.85</v>
      </c>
      <c r="W882">
        <v>13636.34</v>
      </c>
      <c r="X882">
        <v>2537.5100000000002</v>
      </c>
      <c r="Y882">
        <f>V882-W882</f>
        <v>2537.5100000000002</v>
      </c>
      <c r="Z882" s="12">
        <f>Y882/V882</f>
        <v>0.15688967067210344</v>
      </c>
      <c r="AA882" t="s">
        <v>32</v>
      </c>
      <c r="AB882" t="s">
        <v>33</v>
      </c>
      <c r="AC882" s="10" t="s">
        <v>2796</v>
      </c>
      <c r="AD882" t="s">
        <v>2782</v>
      </c>
      <c r="AE882" t="str">
        <f>PROPER(TRIM(AB882))</f>
        <v>Completed</v>
      </c>
      <c r="AS882" t="str">
        <f t="shared" si="15"/>
        <v/>
      </c>
    </row>
    <row r="883" spans="1:45">
      <c r="A883" t="s">
        <v>2705</v>
      </c>
      <c r="B883" s="7">
        <v>45627</v>
      </c>
      <c r="C883" s="4">
        <v>45631</v>
      </c>
      <c r="D883">
        <f>C883-B883</f>
        <v>4</v>
      </c>
      <c r="E883" t="str">
        <f>TEXT(B883,"mmmm")</f>
        <v>December</v>
      </c>
      <c r="F883">
        <f>YEAR(B883)</f>
        <v>2024</v>
      </c>
      <c r="G883" t="s">
        <v>2706</v>
      </c>
      <c r="H883" t="s">
        <v>62</v>
      </c>
      <c r="I883" t="s">
        <v>37</v>
      </c>
      <c r="J883" t="s">
        <v>54</v>
      </c>
      <c r="K883" t="s">
        <v>84</v>
      </c>
      <c r="L883" t="s">
        <v>85</v>
      </c>
      <c r="M883" t="s">
        <v>74</v>
      </c>
      <c r="N883" t="s">
        <v>80</v>
      </c>
      <c r="O883" t="s">
        <v>2707</v>
      </c>
      <c r="P883" t="s">
        <v>31</v>
      </c>
      <c r="Q883">
        <v>9</v>
      </c>
      <c r="R883">
        <v>3726.75</v>
      </c>
      <c r="S883">
        <v>0.25</v>
      </c>
      <c r="T883" s="12">
        <f>S883</f>
        <v>0.25</v>
      </c>
      <c r="U883">
        <v>25155.56</v>
      </c>
      <c r="V883">
        <f>Q883*R883*(1-S883)</f>
        <v>25155.5625</v>
      </c>
      <c r="W883">
        <v>17592.689999999999</v>
      </c>
      <c r="X883">
        <v>7562.87</v>
      </c>
      <c r="Y883">
        <f>V883-W883</f>
        <v>7562.8725000000013</v>
      </c>
      <c r="Z883" s="12">
        <f>Y883/V883</f>
        <v>0.30064414182747856</v>
      </c>
      <c r="AA883" t="s">
        <v>32</v>
      </c>
      <c r="AB883" t="s">
        <v>33</v>
      </c>
      <c r="AC883" s="14" t="s">
        <v>2794</v>
      </c>
      <c r="AD883" t="s">
        <v>2782</v>
      </c>
      <c r="AE883" t="str">
        <f>PROPER(TRIM(AB883))</f>
        <v>Completed</v>
      </c>
      <c r="AS883" t="str">
        <f t="shared" si="15"/>
        <v/>
      </c>
    </row>
    <row r="884" spans="1:45">
      <c r="A884" t="s">
        <v>2708</v>
      </c>
      <c r="B884" s="7">
        <v>45690</v>
      </c>
      <c r="C884" s="4">
        <v>45932</v>
      </c>
      <c r="D884">
        <f>C884-B884</f>
        <v>242</v>
      </c>
      <c r="E884" t="str">
        <f>TEXT(B884,"mmmm")</f>
        <v>February</v>
      </c>
      <c r="F884">
        <f>YEAR(B884)</f>
        <v>2025</v>
      </c>
      <c r="G884" t="s">
        <v>2709</v>
      </c>
      <c r="H884" t="s">
        <v>132</v>
      </c>
      <c r="I884" t="s">
        <v>90</v>
      </c>
      <c r="J884" t="s">
        <v>38</v>
      </c>
      <c r="K884" t="s">
        <v>145</v>
      </c>
      <c r="L884" t="s">
        <v>146</v>
      </c>
      <c r="M884" t="s">
        <v>74</v>
      </c>
      <c r="N884" t="s">
        <v>75</v>
      </c>
      <c r="O884" t="s">
        <v>2710</v>
      </c>
      <c r="P884" t="s">
        <v>59</v>
      </c>
      <c r="Q884">
        <v>4</v>
      </c>
      <c r="R884">
        <v>1912.45</v>
      </c>
      <c r="S884">
        <v>0</v>
      </c>
      <c r="T884" s="12">
        <f>S884</f>
        <v>0</v>
      </c>
      <c r="U884">
        <v>7649.8</v>
      </c>
      <c r="V884">
        <f>Q884*R884*(1-S884)</f>
        <v>7649.8</v>
      </c>
      <c r="W884">
        <v>4894.53</v>
      </c>
      <c r="X884">
        <v>2755.27</v>
      </c>
      <c r="Y884">
        <f>V884-W884</f>
        <v>2755.2700000000004</v>
      </c>
      <c r="Z884" s="12">
        <f>Y884/V884</f>
        <v>0.36017542942299152</v>
      </c>
      <c r="AA884" t="s">
        <v>111</v>
      </c>
      <c r="AB884" t="s">
        <v>103</v>
      </c>
      <c r="AC884" s="14" t="s">
        <v>2794</v>
      </c>
      <c r="AD884" t="s">
        <v>2782</v>
      </c>
      <c r="AE884" t="str">
        <f>PROPER(TRIM(AB884))</f>
        <v>Returned</v>
      </c>
      <c r="AS884" t="str">
        <f t="shared" si="15"/>
        <v/>
      </c>
    </row>
    <row r="885" spans="1:45">
      <c r="A885" t="s">
        <v>2711</v>
      </c>
      <c r="B885" s="7">
        <v>45775</v>
      </c>
      <c r="C885" s="4">
        <v>45662</v>
      </c>
      <c r="D885" s="10">
        <f>C885-B885</f>
        <v>-113</v>
      </c>
      <c r="E885" t="str">
        <f>TEXT(B885,"mmmm")</f>
        <v>April</v>
      </c>
      <c r="F885">
        <f>YEAR(B885)</f>
        <v>2025</v>
      </c>
      <c r="G885" t="s">
        <v>2712</v>
      </c>
      <c r="H885" t="s">
        <v>128</v>
      </c>
      <c r="I885" t="s">
        <v>37</v>
      </c>
      <c r="J885" t="s">
        <v>63</v>
      </c>
      <c r="K885" t="s">
        <v>190</v>
      </c>
      <c r="L885" t="s">
        <v>191</v>
      </c>
      <c r="M885" t="s">
        <v>28</v>
      </c>
      <c r="N885" t="s">
        <v>124</v>
      </c>
      <c r="O885" t="s">
        <v>2713</v>
      </c>
      <c r="P885" t="s">
        <v>44</v>
      </c>
      <c r="Q885">
        <v>1</v>
      </c>
      <c r="R885">
        <v>1620.87</v>
      </c>
      <c r="S885">
        <v>0</v>
      </c>
      <c r="T885" s="12">
        <f>S885</f>
        <v>0</v>
      </c>
      <c r="U885">
        <v>1620.87</v>
      </c>
      <c r="V885">
        <f>Q885*R885*(1-S885)</f>
        <v>1620.87</v>
      </c>
      <c r="W885">
        <v>1103.6099999999999</v>
      </c>
      <c r="X885">
        <v>517.26</v>
      </c>
      <c r="Y885">
        <f>V885-W885</f>
        <v>517.26</v>
      </c>
      <c r="Z885" s="12">
        <f>Y885/V885</f>
        <v>0.31912491439782342</v>
      </c>
      <c r="AA885" t="s">
        <v>32</v>
      </c>
      <c r="AB885" t="s">
        <v>33</v>
      </c>
      <c r="AC885" s="10" t="s">
        <v>2792</v>
      </c>
      <c r="AD885" t="s">
        <v>2782</v>
      </c>
      <c r="AE885" t="str">
        <f>PROPER(TRIM(AB885))</f>
        <v>Completed</v>
      </c>
      <c r="AS885" t="str">
        <f t="shared" si="15"/>
        <v/>
      </c>
    </row>
    <row r="886" spans="1:45">
      <c r="A886" t="s">
        <v>2714</v>
      </c>
      <c r="B886" s="7">
        <v>45675</v>
      </c>
      <c r="C886" s="4">
        <v>45682</v>
      </c>
      <c r="D886">
        <f>C886-B886</f>
        <v>7</v>
      </c>
      <c r="E886" t="str">
        <f>TEXT(B886,"mmmm")</f>
        <v>January</v>
      </c>
      <c r="F886">
        <f>YEAR(B886)</f>
        <v>2025</v>
      </c>
      <c r="G886" t="s">
        <v>2715</v>
      </c>
      <c r="H886" t="s">
        <v>79</v>
      </c>
      <c r="I886" t="s">
        <v>95</v>
      </c>
      <c r="J886" t="s">
        <v>54</v>
      </c>
      <c r="K886" t="s">
        <v>175</v>
      </c>
      <c r="L886" t="s">
        <v>176</v>
      </c>
      <c r="M886" t="s">
        <v>28</v>
      </c>
      <c r="N886" t="s">
        <v>124</v>
      </c>
      <c r="O886" t="s">
        <v>2716</v>
      </c>
      <c r="P886" t="s">
        <v>44</v>
      </c>
      <c r="Q886">
        <v>2</v>
      </c>
      <c r="R886">
        <v>2098.54</v>
      </c>
      <c r="S886">
        <v>0.15</v>
      </c>
      <c r="T886" s="12">
        <f>S886</f>
        <v>0.15</v>
      </c>
      <c r="U886">
        <v>3567.52</v>
      </c>
      <c r="V886">
        <f>Q886*R886*(1-S886)</f>
        <v>3567.518</v>
      </c>
      <c r="W886">
        <v>2411.8000000000002</v>
      </c>
      <c r="X886">
        <v>1155.72</v>
      </c>
      <c r="Y886">
        <f>V886-W886</f>
        <v>1155.7179999999998</v>
      </c>
      <c r="Z886" s="12">
        <f>Y886/V886</f>
        <v>0.32395575859743381</v>
      </c>
      <c r="AA886" t="s">
        <v>32</v>
      </c>
      <c r="AB886" t="s">
        <v>33</v>
      </c>
      <c r="AC886" s="14" t="s">
        <v>2794</v>
      </c>
      <c r="AD886" t="s">
        <v>2782</v>
      </c>
      <c r="AE886" t="str">
        <f>PROPER(TRIM(AB886))</f>
        <v>Completed</v>
      </c>
      <c r="AS886" t="str">
        <f t="shared" si="15"/>
        <v/>
      </c>
    </row>
    <row r="887" spans="1:45">
      <c r="A887" t="s">
        <v>2717</v>
      </c>
      <c r="B887" s="7">
        <v>45296</v>
      </c>
      <c r="C887" s="4">
        <v>45296</v>
      </c>
      <c r="D887">
        <f>C887-B887</f>
        <v>0</v>
      </c>
      <c r="E887" t="str">
        <f>TEXT(B887,"mmmm")</f>
        <v>January</v>
      </c>
      <c r="F887">
        <f>YEAR(B887)</f>
        <v>2024</v>
      </c>
      <c r="G887" t="s">
        <v>2718</v>
      </c>
      <c r="H887" t="s">
        <v>162</v>
      </c>
      <c r="I887" t="s">
        <v>24</v>
      </c>
      <c r="J887" t="s">
        <v>25</v>
      </c>
      <c r="K887" t="s">
        <v>26</v>
      </c>
      <c r="L887" t="s">
        <v>27</v>
      </c>
      <c r="M887" t="s">
        <v>41</v>
      </c>
      <c r="N887" t="s">
        <v>42</v>
      </c>
      <c r="O887" t="s">
        <v>2719</v>
      </c>
      <c r="P887" t="s">
        <v>59</v>
      </c>
      <c r="Q887">
        <v>1</v>
      </c>
      <c r="R887">
        <v>2167.08</v>
      </c>
      <c r="S887">
        <v>0.25</v>
      </c>
      <c r="T887" s="12">
        <f>S887</f>
        <v>0.25</v>
      </c>
      <c r="U887">
        <v>1625.31</v>
      </c>
      <c r="V887">
        <f>Q887*R887*(1-S887)</f>
        <v>1625.31</v>
      </c>
      <c r="W887">
        <v>1157.8900000000001</v>
      </c>
      <c r="X887">
        <v>467.42</v>
      </c>
      <c r="Y887">
        <f>V887-W887</f>
        <v>467.41999999999985</v>
      </c>
      <c r="Z887" s="12">
        <f>Y887/V887</f>
        <v>0.28758821394072509</v>
      </c>
      <c r="AA887" t="s">
        <v>32</v>
      </c>
      <c r="AB887" t="s">
        <v>33</v>
      </c>
      <c r="AC887" s="14" t="s">
        <v>2794</v>
      </c>
      <c r="AD887" t="s">
        <v>2782</v>
      </c>
      <c r="AE887" t="str">
        <f>PROPER(TRIM(AB887))</f>
        <v>Completed</v>
      </c>
      <c r="AS887" t="str">
        <f t="shared" si="15"/>
        <v/>
      </c>
    </row>
    <row r="888" spans="1:45">
      <c r="A888" t="s">
        <v>2720</v>
      </c>
      <c r="B888" s="7">
        <v>45773</v>
      </c>
      <c r="C888" s="4">
        <v>45780</v>
      </c>
      <c r="D888">
        <f>C888-B888</f>
        <v>7</v>
      </c>
      <c r="E888" t="str">
        <f>TEXT(B888,"mmmm")</f>
        <v>April</v>
      </c>
      <c r="F888">
        <f>YEAR(B888)</f>
        <v>2025</v>
      </c>
      <c r="G888" t="s">
        <v>2721</v>
      </c>
      <c r="H888" t="s">
        <v>53</v>
      </c>
      <c r="I888" t="s">
        <v>95</v>
      </c>
      <c r="J888" t="s">
        <v>54</v>
      </c>
      <c r="K888" t="s">
        <v>247</v>
      </c>
      <c r="L888" t="s">
        <v>248</v>
      </c>
      <c r="M888" t="s">
        <v>74</v>
      </c>
      <c r="N888" t="s">
        <v>75</v>
      </c>
      <c r="O888" t="s">
        <v>2722</v>
      </c>
      <c r="P888" t="s">
        <v>50</v>
      </c>
      <c r="Q888">
        <v>7</v>
      </c>
      <c r="R888">
        <v>3989.9</v>
      </c>
      <c r="S888">
        <v>0.15</v>
      </c>
      <c r="T888" s="12">
        <f>S888</f>
        <v>0.15</v>
      </c>
      <c r="U888">
        <v>23739.9</v>
      </c>
      <c r="V888">
        <f>Q888*R888*(1-S888)</f>
        <v>23739.904999999999</v>
      </c>
      <c r="W888">
        <v>17716.52</v>
      </c>
      <c r="X888">
        <v>6023.38</v>
      </c>
      <c r="Y888">
        <f>V888-W888</f>
        <v>6023.3849999999984</v>
      </c>
      <c r="Z888" s="12">
        <f>Y888/V888</f>
        <v>0.25372405660427028</v>
      </c>
      <c r="AA888" t="s">
        <v>32</v>
      </c>
      <c r="AB888" t="s">
        <v>68</v>
      </c>
      <c r="AC888" s="14" t="s">
        <v>2794</v>
      </c>
      <c r="AD888" t="s">
        <v>2782</v>
      </c>
      <c r="AE888" t="str">
        <f>PROPER(TRIM(AB888))</f>
        <v>Cancelled</v>
      </c>
      <c r="AS888" t="str">
        <f t="shared" si="15"/>
        <v/>
      </c>
    </row>
    <row r="889" spans="1:45">
      <c r="A889" t="s">
        <v>2723</v>
      </c>
      <c r="B889" s="7">
        <v>45455</v>
      </c>
      <c r="C889" s="4">
        <v>45461</v>
      </c>
      <c r="D889">
        <f>C889-B889</f>
        <v>6</v>
      </c>
      <c r="E889" t="str">
        <f>TEXT(B889,"mmmm")</f>
        <v>June</v>
      </c>
      <c r="F889">
        <f>YEAR(B889)</f>
        <v>2024</v>
      </c>
      <c r="G889" t="s">
        <v>2724</v>
      </c>
      <c r="H889" t="s">
        <v>128</v>
      </c>
      <c r="I889" t="s">
        <v>37</v>
      </c>
      <c r="J889" t="s">
        <v>54</v>
      </c>
      <c r="K889" t="s">
        <v>84</v>
      </c>
      <c r="L889" t="s">
        <v>85</v>
      </c>
      <c r="M889" t="s">
        <v>28</v>
      </c>
      <c r="N889" t="s">
        <v>48</v>
      </c>
      <c r="O889" t="s">
        <v>2725</v>
      </c>
      <c r="P889" t="s">
        <v>59</v>
      </c>
      <c r="Q889">
        <v>4</v>
      </c>
      <c r="R889">
        <v>4176.13</v>
      </c>
      <c r="S889">
        <v>0</v>
      </c>
      <c r="T889" s="12">
        <f>S889</f>
        <v>0</v>
      </c>
      <c r="U889">
        <v>16704.52</v>
      </c>
      <c r="V889">
        <f>Q889*R889*(1-S889)</f>
        <v>16704.52</v>
      </c>
      <c r="W889">
        <v>10158.280000000001</v>
      </c>
      <c r="X889">
        <v>6546.24</v>
      </c>
      <c r="Y889">
        <f>V889-W889</f>
        <v>6546.24</v>
      </c>
      <c r="Z889" s="12">
        <f>Y889/V889</f>
        <v>0.39188435225914897</v>
      </c>
      <c r="AA889" t="s">
        <v>32</v>
      </c>
      <c r="AB889" t="s">
        <v>33</v>
      </c>
      <c r="AC889" s="14" t="s">
        <v>2794</v>
      </c>
      <c r="AD889" t="s">
        <v>2782</v>
      </c>
      <c r="AE889" t="str">
        <f>PROPER(TRIM(AB889))</f>
        <v>Completed</v>
      </c>
      <c r="AS889" t="str">
        <f t="shared" si="15"/>
        <v/>
      </c>
    </row>
    <row r="890" spans="1:45">
      <c r="A890" t="s">
        <v>2726</v>
      </c>
      <c r="B890" s="7">
        <v>45875</v>
      </c>
      <c r="C890" s="4">
        <v>45876</v>
      </c>
      <c r="D890">
        <f>C890-B890</f>
        <v>1</v>
      </c>
      <c r="E890" t="str">
        <f>TEXT(B890,"mmmm")</f>
        <v>August</v>
      </c>
      <c r="F890">
        <f>YEAR(B890)</f>
        <v>2025</v>
      </c>
      <c r="G890" t="s">
        <v>2727</v>
      </c>
      <c r="H890" t="s">
        <v>118</v>
      </c>
      <c r="I890" t="s">
        <v>37</v>
      </c>
      <c r="J890" t="s">
        <v>63</v>
      </c>
      <c r="K890" t="s">
        <v>64</v>
      </c>
      <c r="L890" t="s">
        <v>65</v>
      </c>
      <c r="M890" t="s">
        <v>28</v>
      </c>
      <c r="N890" t="s">
        <v>48</v>
      </c>
      <c r="O890" t="s">
        <v>2728</v>
      </c>
      <c r="P890" t="s">
        <v>59</v>
      </c>
      <c r="Q890">
        <v>4</v>
      </c>
      <c r="R890">
        <v>3523.64</v>
      </c>
      <c r="S890">
        <v>0.1</v>
      </c>
      <c r="T890" s="12">
        <f>S890</f>
        <v>0.1</v>
      </c>
      <c r="U890">
        <v>12685.1</v>
      </c>
      <c r="V890">
        <f>Q890*R890*(1-S890)</f>
        <v>12685.103999999999</v>
      </c>
      <c r="W890">
        <v>10779.56</v>
      </c>
      <c r="X890">
        <v>1905.54</v>
      </c>
      <c r="Y890">
        <f>V890-W890</f>
        <v>1905.5439999999999</v>
      </c>
      <c r="Z890" s="12">
        <f>Y890/V890</f>
        <v>0.15021902855506741</v>
      </c>
      <c r="AA890" t="s">
        <v>102</v>
      </c>
      <c r="AB890" t="s">
        <v>68</v>
      </c>
      <c r="AC890" s="14" t="s">
        <v>2794</v>
      </c>
      <c r="AD890" t="s">
        <v>2782</v>
      </c>
      <c r="AE890" t="str">
        <f>PROPER(TRIM(AB890))</f>
        <v>Cancelled</v>
      </c>
      <c r="AS890" t="str">
        <f t="shared" si="15"/>
        <v/>
      </c>
    </row>
    <row r="891" spans="1:45">
      <c r="A891" t="s">
        <v>2729</v>
      </c>
      <c r="B891" s="7">
        <v>45726</v>
      </c>
      <c r="C891" s="4">
        <v>45964</v>
      </c>
      <c r="D891">
        <f>C891-B891</f>
        <v>238</v>
      </c>
      <c r="E891" t="str">
        <f>TEXT(B891,"mmmm")</f>
        <v>March</v>
      </c>
      <c r="F891">
        <f>YEAR(B891)</f>
        <v>2025</v>
      </c>
      <c r="G891" t="s">
        <v>881</v>
      </c>
      <c r="H891" t="s">
        <v>89</v>
      </c>
      <c r="I891" t="s">
        <v>95</v>
      </c>
      <c r="J891" t="s">
        <v>63</v>
      </c>
      <c r="K891" t="s">
        <v>72</v>
      </c>
      <c r="L891" t="s">
        <v>73</v>
      </c>
      <c r="M891" t="s">
        <v>28</v>
      </c>
      <c r="N891" t="s">
        <v>124</v>
      </c>
      <c r="O891" t="s">
        <v>2730</v>
      </c>
      <c r="P891" t="s">
        <v>50</v>
      </c>
      <c r="Q891">
        <v>2</v>
      </c>
      <c r="R891">
        <v>3922.08</v>
      </c>
      <c r="S891">
        <v>0.25</v>
      </c>
      <c r="T891" s="12">
        <f>S891</f>
        <v>0.25</v>
      </c>
      <c r="U891">
        <v>5883.12</v>
      </c>
      <c r="V891">
        <f>Q891*R891*(1-S891)</f>
        <v>5883.12</v>
      </c>
      <c r="W891">
        <v>4647.91</v>
      </c>
      <c r="X891">
        <v>1235.21</v>
      </c>
      <c r="Y891">
        <f>V891-W891</f>
        <v>1235.21</v>
      </c>
      <c r="Z891" s="12">
        <f>Y891/V891</f>
        <v>0.20995832143488491</v>
      </c>
      <c r="AA891" t="s">
        <v>32</v>
      </c>
      <c r="AB891" t="s">
        <v>103</v>
      </c>
      <c r="AC891" s="14" t="s">
        <v>2794</v>
      </c>
      <c r="AD891" t="s">
        <v>2782</v>
      </c>
      <c r="AE891" t="str">
        <f>PROPER(TRIM(AB891))</f>
        <v>Returned</v>
      </c>
      <c r="AS891" t="str">
        <f t="shared" si="15"/>
        <v/>
      </c>
    </row>
    <row r="892" spans="1:45">
      <c r="A892" t="s">
        <v>2731</v>
      </c>
      <c r="B892" s="7">
        <v>45427</v>
      </c>
      <c r="C892" s="4">
        <v>45433</v>
      </c>
      <c r="D892">
        <f>C892-B892</f>
        <v>6</v>
      </c>
      <c r="E892" t="str">
        <f>TEXT(B892,"mmmm")</f>
        <v>May</v>
      </c>
      <c r="F892">
        <f>YEAR(B892)</f>
        <v>2024</v>
      </c>
      <c r="G892" t="s">
        <v>2732</v>
      </c>
      <c r="H892" t="s">
        <v>23</v>
      </c>
      <c r="I892" t="s">
        <v>24</v>
      </c>
      <c r="J892" t="s">
        <v>63</v>
      </c>
      <c r="K892" t="s">
        <v>190</v>
      </c>
      <c r="L892" t="s">
        <v>191</v>
      </c>
      <c r="M892" t="s">
        <v>28</v>
      </c>
      <c r="N892" t="s">
        <v>124</v>
      </c>
      <c r="O892" t="s">
        <v>2733</v>
      </c>
      <c r="P892" t="s">
        <v>59</v>
      </c>
      <c r="Q892">
        <v>6</v>
      </c>
      <c r="R892">
        <v>2909.56</v>
      </c>
      <c r="S892">
        <v>0.2</v>
      </c>
      <c r="T892" s="12">
        <f>S892</f>
        <v>0.2</v>
      </c>
      <c r="U892">
        <v>13965.89</v>
      </c>
      <c r="V892">
        <f>Q892*R892*(1-S892)</f>
        <v>13965.888000000001</v>
      </c>
      <c r="W892">
        <v>11646.12</v>
      </c>
      <c r="X892">
        <v>2319.77</v>
      </c>
      <c r="Y892">
        <f>V892-W892</f>
        <v>2319.768</v>
      </c>
      <c r="Z892" s="12">
        <f>Y892/V892</f>
        <v>0.16610243473239938</v>
      </c>
      <c r="AA892" t="s">
        <v>32</v>
      </c>
      <c r="AB892" t="s">
        <v>33</v>
      </c>
      <c r="AC892" s="14" t="s">
        <v>2794</v>
      </c>
      <c r="AD892" t="s">
        <v>2782</v>
      </c>
      <c r="AE892" t="str">
        <f>PROPER(TRIM(AB892))</f>
        <v>Completed</v>
      </c>
      <c r="AS892" t="str">
        <f t="shared" si="15"/>
        <v/>
      </c>
    </row>
    <row r="893" spans="1:45">
      <c r="A893" t="s">
        <v>2734</v>
      </c>
      <c r="B893" s="7">
        <v>45573</v>
      </c>
      <c r="C893" s="4">
        <v>45574</v>
      </c>
      <c r="D893">
        <f>C893-B893</f>
        <v>1</v>
      </c>
      <c r="E893" t="str">
        <f>TEXT(B893,"mmmm")</f>
        <v>October</v>
      </c>
      <c r="F893">
        <f>YEAR(B893)</f>
        <v>2024</v>
      </c>
      <c r="G893" t="s">
        <v>2735</v>
      </c>
      <c r="H893" t="s">
        <v>264</v>
      </c>
      <c r="I893" t="s">
        <v>90</v>
      </c>
      <c r="J893" t="s">
        <v>54</v>
      </c>
      <c r="K893" t="s">
        <v>247</v>
      </c>
      <c r="L893" t="s">
        <v>248</v>
      </c>
      <c r="M893" t="s">
        <v>74</v>
      </c>
      <c r="N893" t="s">
        <v>274</v>
      </c>
      <c r="O893" t="s">
        <v>2736</v>
      </c>
      <c r="P893" t="s">
        <v>44</v>
      </c>
      <c r="Q893">
        <v>5</v>
      </c>
      <c r="R893">
        <v>2407.9699999999998</v>
      </c>
      <c r="S893">
        <v>0.1</v>
      </c>
      <c r="T893" s="12">
        <f>S893</f>
        <v>0.1</v>
      </c>
      <c r="U893">
        <v>10835.86</v>
      </c>
      <c r="V893">
        <f>Q893*R893*(1-S893)</f>
        <v>10835.865</v>
      </c>
      <c r="W893">
        <v>6419.92</v>
      </c>
      <c r="X893">
        <v>4415.9399999999996</v>
      </c>
      <c r="Y893">
        <f>V893-W893</f>
        <v>4415.9449999999997</v>
      </c>
      <c r="Z893" s="12">
        <f>Y893/V893</f>
        <v>0.40753045557507406</v>
      </c>
      <c r="AA893" t="s">
        <v>155</v>
      </c>
      <c r="AB893" t="s">
        <v>68</v>
      </c>
      <c r="AC893" s="14" t="s">
        <v>2794</v>
      </c>
      <c r="AD893" t="s">
        <v>2782</v>
      </c>
      <c r="AE893" t="str">
        <f>PROPER(TRIM(AB893))</f>
        <v>Cancelled</v>
      </c>
      <c r="AS893" t="str">
        <f t="shared" si="15"/>
        <v/>
      </c>
    </row>
    <row r="894" spans="1:45">
      <c r="A894" t="s">
        <v>2737</v>
      </c>
      <c r="B894" s="7">
        <v>45995</v>
      </c>
      <c r="C894" s="4">
        <v>45765</v>
      </c>
      <c r="D894" s="10">
        <f>C894-B894</f>
        <v>-230</v>
      </c>
      <c r="E894" t="str">
        <f>TEXT(B894,"mmmm")</f>
        <v>December</v>
      </c>
      <c r="F894">
        <f>YEAR(B894)</f>
        <v>2025</v>
      </c>
      <c r="G894" t="s">
        <v>2738</v>
      </c>
      <c r="H894" t="s">
        <v>47</v>
      </c>
      <c r="I894" t="s">
        <v>37</v>
      </c>
      <c r="J894" t="s">
        <v>38</v>
      </c>
      <c r="K894" t="s">
        <v>228</v>
      </c>
      <c r="L894" t="s">
        <v>229</v>
      </c>
      <c r="M894" t="s">
        <v>74</v>
      </c>
      <c r="N894" t="s">
        <v>80</v>
      </c>
      <c r="O894" t="s">
        <v>2739</v>
      </c>
      <c r="P894" t="s">
        <v>44</v>
      </c>
      <c r="Q894">
        <v>1</v>
      </c>
      <c r="R894">
        <v>726.89</v>
      </c>
      <c r="S894">
        <v>0.2</v>
      </c>
      <c r="T894" s="12">
        <f>S894</f>
        <v>0.2</v>
      </c>
      <c r="U894">
        <v>581.51</v>
      </c>
      <c r="V894">
        <f>Q894*R894*(1-S894)</f>
        <v>581.51200000000006</v>
      </c>
      <c r="W894">
        <v>423.86</v>
      </c>
      <c r="X894">
        <v>157.65</v>
      </c>
      <c r="Y894">
        <f>V894-W894</f>
        <v>157.65200000000004</v>
      </c>
      <c r="Z894" s="12">
        <f>Y894/V894</f>
        <v>0.27110704508247468</v>
      </c>
      <c r="AA894" t="s">
        <v>32</v>
      </c>
      <c r="AB894" t="s">
        <v>33</v>
      </c>
      <c r="AC894" s="10" t="s">
        <v>2792</v>
      </c>
      <c r="AD894" t="s">
        <v>2782</v>
      </c>
      <c r="AE894" t="str">
        <f>PROPER(TRIM(AB894))</f>
        <v>Completed</v>
      </c>
      <c r="AS894" t="str">
        <f t="shared" si="15"/>
        <v/>
      </c>
    </row>
    <row r="895" spans="1:45">
      <c r="A895" t="s">
        <v>2740</v>
      </c>
      <c r="B895" s="7">
        <v>45449</v>
      </c>
      <c r="C895" s="4">
        <v>45451</v>
      </c>
      <c r="D895">
        <f>C895-B895</f>
        <v>2</v>
      </c>
      <c r="E895" t="str">
        <f>TEXT(B895,"mmmm")</f>
        <v>June</v>
      </c>
      <c r="F895">
        <f>YEAR(B895)</f>
        <v>2024</v>
      </c>
      <c r="G895" t="s">
        <v>2741</v>
      </c>
      <c r="H895" t="s">
        <v>128</v>
      </c>
      <c r="I895" t="s">
        <v>90</v>
      </c>
      <c r="J895" t="s">
        <v>54</v>
      </c>
      <c r="K895" t="s">
        <v>175</v>
      </c>
      <c r="L895" t="s">
        <v>176</v>
      </c>
      <c r="M895" t="s">
        <v>41</v>
      </c>
      <c r="N895" t="s">
        <v>42</v>
      </c>
      <c r="O895" t="s">
        <v>2742</v>
      </c>
      <c r="P895" t="s">
        <v>31</v>
      </c>
      <c r="Q895">
        <v>3</v>
      </c>
      <c r="R895">
        <v>395.49</v>
      </c>
      <c r="S895">
        <v>0.05</v>
      </c>
      <c r="T895" s="12">
        <f>S895</f>
        <v>0.05</v>
      </c>
      <c r="U895">
        <v>1127.1500000000001</v>
      </c>
      <c r="V895">
        <f>Q895*R895*(1-S895)</f>
        <v>1127.1465000000001</v>
      </c>
      <c r="W895">
        <v>845.62</v>
      </c>
      <c r="X895">
        <v>281.52999999999997</v>
      </c>
      <c r="Y895">
        <f>V895-W895</f>
        <v>281.52650000000006</v>
      </c>
      <c r="Z895" s="12">
        <f>Y895/V895</f>
        <v>0.24976921810962466</v>
      </c>
      <c r="AA895" t="s">
        <v>32</v>
      </c>
      <c r="AB895" t="s">
        <v>103</v>
      </c>
      <c r="AC895" s="14" t="s">
        <v>2794</v>
      </c>
      <c r="AD895" t="s">
        <v>2782</v>
      </c>
      <c r="AE895" t="str">
        <f>PROPER(TRIM(AB895))</f>
        <v>Returned</v>
      </c>
      <c r="AS895" t="str">
        <f t="shared" si="15"/>
        <v/>
      </c>
    </row>
    <row r="896" spans="1:45">
      <c r="A896" t="s">
        <v>2743</v>
      </c>
      <c r="B896" s="7">
        <v>45344</v>
      </c>
      <c r="C896" s="4">
        <v>45351</v>
      </c>
      <c r="D896">
        <f>C896-B896</f>
        <v>7</v>
      </c>
      <c r="E896" t="str">
        <f>TEXT(B896,"mmmm")</f>
        <v>February</v>
      </c>
      <c r="F896">
        <f>YEAR(B896)</f>
        <v>2024</v>
      </c>
      <c r="G896" t="s">
        <v>2744</v>
      </c>
      <c r="H896" t="s">
        <v>47</v>
      </c>
      <c r="I896" t="s">
        <v>95</v>
      </c>
      <c r="J896" t="s">
        <v>54</v>
      </c>
      <c r="K896" t="s">
        <v>55</v>
      </c>
      <c r="L896" t="s">
        <v>56</v>
      </c>
      <c r="M896" t="s">
        <v>41</v>
      </c>
      <c r="N896" t="s">
        <v>42</v>
      </c>
      <c r="O896" t="s">
        <v>2745</v>
      </c>
      <c r="P896" t="s">
        <v>50</v>
      </c>
      <c r="Q896">
        <v>6</v>
      </c>
      <c r="R896">
        <v>4254.05</v>
      </c>
      <c r="S896">
        <v>0</v>
      </c>
      <c r="T896" s="12">
        <f>S896</f>
        <v>0</v>
      </c>
      <c r="U896">
        <v>25524.3</v>
      </c>
      <c r="V896">
        <f>Q896*R896*(1-S896)</f>
        <v>25524.300000000003</v>
      </c>
      <c r="W896">
        <v>16711.93</v>
      </c>
      <c r="X896">
        <v>8812.3700000000008</v>
      </c>
      <c r="Y896">
        <f>V896-W896</f>
        <v>8812.3700000000026</v>
      </c>
      <c r="Z896" s="12">
        <f>Y896/V896</f>
        <v>0.34525413037771857</v>
      </c>
      <c r="AA896" t="s">
        <v>32</v>
      </c>
      <c r="AB896" t="s">
        <v>33</v>
      </c>
      <c r="AC896" s="14" t="s">
        <v>2794</v>
      </c>
      <c r="AD896" t="s">
        <v>2782</v>
      </c>
      <c r="AE896" t="str">
        <f>PROPER(TRIM(AB896))</f>
        <v>Completed</v>
      </c>
      <c r="AS896" t="str">
        <f t="shared" si="15"/>
        <v/>
      </c>
    </row>
    <row r="897" spans="1:45">
      <c r="A897" t="s">
        <v>2746</v>
      </c>
      <c r="B897" s="7">
        <v>45601</v>
      </c>
      <c r="C897" s="4">
        <v>45576</v>
      </c>
      <c r="D897" s="10">
        <f>C897-B897</f>
        <v>-25</v>
      </c>
      <c r="E897" t="str">
        <f>TEXT(B897,"mmmm")</f>
        <v>November</v>
      </c>
      <c r="F897">
        <f>YEAR(B897)</f>
        <v>2024</v>
      </c>
      <c r="G897" t="s">
        <v>2747</v>
      </c>
      <c r="H897" t="s">
        <v>53</v>
      </c>
      <c r="I897" t="s">
        <v>24</v>
      </c>
      <c r="J897" t="s">
        <v>54</v>
      </c>
      <c r="K897" t="s">
        <v>185</v>
      </c>
      <c r="L897" t="s">
        <v>186</v>
      </c>
      <c r="M897" t="s">
        <v>41</v>
      </c>
      <c r="N897" t="s">
        <v>66</v>
      </c>
      <c r="O897" t="s">
        <v>2748</v>
      </c>
      <c r="P897" t="s">
        <v>44</v>
      </c>
      <c r="Q897">
        <v>4</v>
      </c>
      <c r="R897">
        <v>711.18</v>
      </c>
      <c r="S897">
        <v>0.15</v>
      </c>
      <c r="T897" s="12">
        <f>S897</f>
        <v>0.15</v>
      </c>
      <c r="U897">
        <v>2418.0100000000002</v>
      </c>
      <c r="V897">
        <f>Q897*R897*(1-S897)</f>
        <v>2418.0119999999997</v>
      </c>
      <c r="W897">
        <v>1441.89</v>
      </c>
      <c r="X897">
        <v>976.12</v>
      </c>
      <c r="Y897">
        <f>V897-W897</f>
        <v>976.12199999999962</v>
      </c>
      <c r="Z897" s="12">
        <f>Y897/V897</f>
        <v>0.40368782288921634</v>
      </c>
      <c r="AA897" t="s">
        <v>111</v>
      </c>
      <c r="AB897" t="s">
        <v>103</v>
      </c>
      <c r="AC897" s="10" t="s">
        <v>2792</v>
      </c>
      <c r="AD897" t="s">
        <v>2782</v>
      </c>
      <c r="AE897" t="str">
        <f>PROPER(TRIM(AB897))</f>
        <v>Returned</v>
      </c>
      <c r="AS897" t="str">
        <f t="shared" si="15"/>
        <v/>
      </c>
    </row>
    <row r="898" spans="1:45">
      <c r="A898" t="s">
        <v>2749</v>
      </c>
      <c r="B898" s="7">
        <v>45650</v>
      </c>
      <c r="C898" s="4">
        <v>45651</v>
      </c>
      <c r="D898">
        <f>C898-B898</f>
        <v>1</v>
      </c>
      <c r="E898" t="str">
        <f>TEXT(B898,"mmmm")</f>
        <v>December</v>
      </c>
      <c r="F898">
        <f>YEAR(B898)</f>
        <v>2024</v>
      </c>
      <c r="G898" t="s">
        <v>2750</v>
      </c>
      <c r="H898" t="s">
        <v>62</v>
      </c>
      <c r="I898" t="s">
        <v>37</v>
      </c>
      <c r="J898" t="s">
        <v>54</v>
      </c>
      <c r="K898" t="s">
        <v>247</v>
      </c>
      <c r="L898" t="s">
        <v>248</v>
      </c>
      <c r="M898" t="s">
        <v>74</v>
      </c>
      <c r="N898" t="s">
        <v>80</v>
      </c>
      <c r="O898" t="s">
        <v>2751</v>
      </c>
      <c r="P898" t="s">
        <v>31</v>
      </c>
      <c r="Q898">
        <v>1</v>
      </c>
      <c r="R898">
        <v>3693.03</v>
      </c>
      <c r="S898">
        <v>0.05</v>
      </c>
      <c r="T898" s="12">
        <f>S898</f>
        <v>0.05</v>
      </c>
      <c r="U898">
        <v>3508.38</v>
      </c>
      <c r="V898">
        <f>Q898*R898*(1-S898)</f>
        <v>3508.3784999999998</v>
      </c>
      <c r="W898">
        <v>2828.06</v>
      </c>
      <c r="X898">
        <v>680.32</v>
      </c>
      <c r="Y898">
        <f>V898-W898</f>
        <v>680.31849999999986</v>
      </c>
      <c r="Z898" s="12">
        <f>Y898/V898</f>
        <v>0.19391251542557336</v>
      </c>
      <c r="AA898" t="s">
        <v>155</v>
      </c>
      <c r="AB898" t="s">
        <v>103</v>
      </c>
      <c r="AC898" s="14" t="s">
        <v>2794</v>
      </c>
      <c r="AD898" t="s">
        <v>2782</v>
      </c>
      <c r="AE898" t="str">
        <f>PROPER(TRIM(AB898))</f>
        <v>Returned</v>
      </c>
      <c r="AS898" t="str">
        <f t="shared" si="15"/>
        <v/>
      </c>
    </row>
    <row r="899" spans="1:45">
      <c r="A899" t="s">
        <v>2752</v>
      </c>
      <c r="B899" s="7">
        <v>45776</v>
      </c>
      <c r="C899" s="4">
        <v>45780</v>
      </c>
      <c r="D899">
        <f>C899-B899</f>
        <v>4</v>
      </c>
      <c r="E899" t="str">
        <f>TEXT(B899,"mmmm")</f>
        <v>April</v>
      </c>
      <c r="F899">
        <f>YEAR(B899)</f>
        <v>2025</v>
      </c>
      <c r="G899" t="s">
        <v>2119</v>
      </c>
      <c r="H899" t="s">
        <v>141</v>
      </c>
      <c r="I899" t="s">
        <v>90</v>
      </c>
      <c r="J899" t="s">
        <v>25</v>
      </c>
      <c r="K899" t="s">
        <v>236</v>
      </c>
      <c r="L899" t="s">
        <v>237</v>
      </c>
      <c r="M899" t="s">
        <v>28</v>
      </c>
      <c r="N899" t="s">
        <v>29</v>
      </c>
      <c r="O899" t="s">
        <v>2753</v>
      </c>
      <c r="P899" t="s">
        <v>50</v>
      </c>
      <c r="Q899">
        <v>4</v>
      </c>
      <c r="R899">
        <v>1786.65</v>
      </c>
      <c r="S899">
        <v>0.05</v>
      </c>
      <c r="T899" s="12">
        <f>S899</f>
        <v>0.05</v>
      </c>
      <c r="U899">
        <v>6789.27</v>
      </c>
      <c r="V899">
        <f>Q899*R899*(1-S899)</f>
        <v>6789.27</v>
      </c>
      <c r="W899">
        <v>5626.43</v>
      </c>
      <c r="X899">
        <v>1162.8399999999999</v>
      </c>
      <c r="Y899">
        <f>V899-W899</f>
        <v>1162.8400000000001</v>
      </c>
      <c r="Z899" s="12">
        <f>Y899/V899</f>
        <v>0.17127614603631908</v>
      </c>
      <c r="AA899" t="s">
        <v>32</v>
      </c>
      <c r="AB899" t="s">
        <v>33</v>
      </c>
      <c r="AC899" s="14" t="s">
        <v>2794</v>
      </c>
      <c r="AD899" t="s">
        <v>2782</v>
      </c>
      <c r="AE899" t="str">
        <f>PROPER(TRIM(AB899))</f>
        <v>Completed</v>
      </c>
      <c r="AS899" t="str">
        <f t="shared" ref="AS899:AS933" si="16">PROPER(TRIM(AD899))</f>
        <v/>
      </c>
    </row>
    <row r="900" spans="1:45">
      <c r="A900" t="s">
        <v>2754</v>
      </c>
      <c r="B900" s="7">
        <v>45445</v>
      </c>
      <c r="C900" s="4">
        <v>45510</v>
      </c>
      <c r="D900">
        <f>C900-B900</f>
        <v>65</v>
      </c>
      <c r="E900" t="str">
        <f>TEXT(B900,"mmmm")</f>
        <v>June</v>
      </c>
      <c r="F900">
        <f>YEAR(B900)</f>
        <v>2024</v>
      </c>
      <c r="G900" t="s">
        <v>2755</v>
      </c>
      <c r="H900" t="s">
        <v>71</v>
      </c>
      <c r="I900" t="s">
        <v>24</v>
      </c>
      <c r="J900" t="s">
        <v>25</v>
      </c>
      <c r="K900" t="s">
        <v>350</v>
      </c>
      <c r="L900" t="s">
        <v>351</v>
      </c>
      <c r="M900" t="s">
        <v>41</v>
      </c>
      <c r="N900" t="s">
        <v>42</v>
      </c>
      <c r="O900" t="s">
        <v>2756</v>
      </c>
      <c r="P900" t="s">
        <v>50</v>
      </c>
      <c r="Q900">
        <v>4</v>
      </c>
      <c r="R900">
        <v>1536.7</v>
      </c>
      <c r="S900">
        <v>0.2</v>
      </c>
      <c r="T900" s="12">
        <f>S900</f>
        <v>0.2</v>
      </c>
      <c r="U900">
        <v>4917.4399999999996</v>
      </c>
      <c r="V900">
        <f>Q900*R900*(1-S900)</f>
        <v>4917.4400000000005</v>
      </c>
      <c r="W900">
        <v>3846.77</v>
      </c>
      <c r="X900">
        <v>1070.67</v>
      </c>
      <c r="Y900">
        <f>V900-W900</f>
        <v>1070.6700000000005</v>
      </c>
      <c r="Z900" s="12">
        <f>Y900/V900</f>
        <v>0.21772914361944434</v>
      </c>
      <c r="AA900" t="s">
        <v>32</v>
      </c>
      <c r="AB900" t="s">
        <v>33</v>
      </c>
      <c r="AC900" s="14" t="s">
        <v>2794</v>
      </c>
      <c r="AD900" t="s">
        <v>2782</v>
      </c>
      <c r="AE900" t="str">
        <f>PROPER(TRIM(AB900))</f>
        <v>Completed</v>
      </c>
      <c r="AS900" t="str">
        <f t="shared" si="16"/>
        <v/>
      </c>
    </row>
    <row r="901" spans="1:45">
      <c r="A901" t="s">
        <v>2757</v>
      </c>
      <c r="B901" s="7">
        <v>45804</v>
      </c>
      <c r="C901" s="4">
        <v>45722</v>
      </c>
      <c r="D901" s="10">
        <f>C901-B901</f>
        <v>-82</v>
      </c>
      <c r="E901" t="str">
        <f>TEXT(B901,"mmmm")</f>
        <v>May</v>
      </c>
      <c r="F901">
        <f>YEAR(B901)</f>
        <v>2025</v>
      </c>
      <c r="G901" t="s">
        <v>2758</v>
      </c>
      <c r="H901" t="s">
        <v>23</v>
      </c>
      <c r="I901" t="s">
        <v>24</v>
      </c>
      <c r="J901" t="s">
        <v>25</v>
      </c>
      <c r="K901" t="s">
        <v>122</v>
      </c>
      <c r="L901" t="s">
        <v>123</v>
      </c>
      <c r="M901" t="s">
        <v>41</v>
      </c>
      <c r="N901" t="s">
        <v>66</v>
      </c>
      <c r="O901" t="s">
        <v>2759</v>
      </c>
      <c r="P901" t="s">
        <v>50</v>
      </c>
      <c r="Q901">
        <v>5</v>
      </c>
      <c r="R901">
        <v>881.08</v>
      </c>
      <c r="S901">
        <v>0.25</v>
      </c>
      <c r="T901" s="12">
        <f>S901</f>
        <v>0.25</v>
      </c>
      <c r="U901">
        <v>3304.05</v>
      </c>
      <c r="V901">
        <f>Q901*R901*(1-S901)</f>
        <v>3304.05</v>
      </c>
      <c r="W901">
        <v>2279.41</v>
      </c>
      <c r="X901">
        <v>1024.6400000000001</v>
      </c>
      <c r="Y901">
        <f>V901-W901</f>
        <v>1024.6400000000003</v>
      </c>
      <c r="Z901" s="12">
        <f>Y901/V901</f>
        <v>0.31011637233092726</v>
      </c>
      <c r="AA901" t="s">
        <v>155</v>
      </c>
      <c r="AB901" t="s">
        <v>68</v>
      </c>
      <c r="AC901" s="10" t="s">
        <v>2792</v>
      </c>
      <c r="AD901" t="s">
        <v>2782</v>
      </c>
      <c r="AE901" t="str">
        <f>PROPER(TRIM(AB901))</f>
        <v>Cancelled</v>
      </c>
      <c r="AS901" t="str">
        <f t="shared" si="16"/>
        <v/>
      </c>
    </row>
    <row r="902" spans="1:45">
      <c r="B902" s="7">
        <v>45630</v>
      </c>
      <c r="C902" s="4">
        <v>45632</v>
      </c>
      <c r="D902">
        <f>C902-B902</f>
        <v>2</v>
      </c>
      <c r="E902" t="str">
        <f>TEXT(B902,"mmmm")</f>
        <v>December</v>
      </c>
      <c r="F902">
        <f>YEAR(B902)</f>
        <v>2024</v>
      </c>
      <c r="G902" t="s">
        <v>1097</v>
      </c>
      <c r="H902" t="s">
        <v>132</v>
      </c>
      <c r="I902" t="s">
        <v>95</v>
      </c>
      <c r="J902" t="s">
        <v>38</v>
      </c>
      <c r="K902" t="s">
        <v>39</v>
      </c>
      <c r="L902" t="s">
        <v>40</v>
      </c>
      <c r="M902" t="s">
        <v>28</v>
      </c>
      <c r="N902" t="s">
        <v>153</v>
      </c>
      <c r="O902" t="s">
        <v>1098</v>
      </c>
      <c r="P902" t="s">
        <v>31</v>
      </c>
      <c r="Q902">
        <v>4</v>
      </c>
      <c r="R902">
        <v>2685.66</v>
      </c>
      <c r="S902">
        <v>0</v>
      </c>
      <c r="T902" s="12">
        <f>S902</f>
        <v>0</v>
      </c>
      <c r="U902">
        <v>10989.89</v>
      </c>
      <c r="V902">
        <f>Q902*R902*(1-S902)</f>
        <v>10742.64</v>
      </c>
      <c r="W902">
        <v>6477.37</v>
      </c>
      <c r="X902">
        <v>4265.2700000000004</v>
      </c>
      <c r="Y902">
        <f>V902-W902</f>
        <v>4265.2699999999995</v>
      </c>
      <c r="Z902" s="12">
        <f>Y902/V902</f>
        <v>0.39704113700170535</v>
      </c>
      <c r="AA902" t="s">
        <v>32</v>
      </c>
      <c r="AB902" t="s">
        <v>33</v>
      </c>
      <c r="AC902" s="14" t="s">
        <v>2794</v>
      </c>
      <c r="AD902" t="s">
        <v>2782</v>
      </c>
      <c r="AE902" t="str">
        <f>PROPER(TRIM(AB902))</f>
        <v>Completed</v>
      </c>
      <c r="AS902" t="str">
        <f t="shared" si="16"/>
        <v/>
      </c>
    </row>
    <row r="903" spans="1:45">
      <c r="B903" s="7">
        <v>45893</v>
      </c>
      <c r="C903" s="4">
        <v>45898</v>
      </c>
      <c r="D903">
        <f>C903-B903</f>
        <v>5</v>
      </c>
      <c r="E903" t="str">
        <f>TEXT(B903,"mmmm")</f>
        <v>August</v>
      </c>
      <c r="F903">
        <f>YEAR(B903)</f>
        <v>2025</v>
      </c>
      <c r="G903" t="s">
        <v>381</v>
      </c>
      <c r="H903" t="s">
        <v>128</v>
      </c>
      <c r="I903" t="s">
        <v>37</v>
      </c>
      <c r="J903" t="s">
        <v>38</v>
      </c>
      <c r="K903" t="s">
        <v>145</v>
      </c>
      <c r="L903" t="s">
        <v>146</v>
      </c>
      <c r="M903" t="s">
        <v>74</v>
      </c>
      <c r="N903" t="s">
        <v>80</v>
      </c>
      <c r="O903" t="s">
        <v>382</v>
      </c>
      <c r="P903" t="s">
        <v>50</v>
      </c>
      <c r="Q903">
        <v>3</v>
      </c>
      <c r="R903">
        <v>3703.96</v>
      </c>
      <c r="S903">
        <v>0.15</v>
      </c>
      <c r="T903" s="12">
        <f>S903</f>
        <v>0.15</v>
      </c>
      <c r="U903">
        <v>9549.44</v>
      </c>
      <c r="V903">
        <f>Q903*R903*(1-S903)</f>
        <v>9445.098</v>
      </c>
      <c r="W903">
        <v>5586.28</v>
      </c>
      <c r="X903">
        <v>3858.82</v>
      </c>
      <c r="Y903">
        <f>V903-W903</f>
        <v>3858.8180000000002</v>
      </c>
      <c r="Z903" s="12">
        <f>Y903/V903</f>
        <v>0.40855245758170006</v>
      </c>
      <c r="AA903" t="s">
        <v>32</v>
      </c>
      <c r="AB903" t="s">
        <v>103</v>
      </c>
      <c r="AC903" s="14" t="s">
        <v>2794</v>
      </c>
      <c r="AD903" t="s">
        <v>2782</v>
      </c>
      <c r="AE903" t="str">
        <f>PROPER(TRIM(AB903))</f>
        <v>Returned</v>
      </c>
      <c r="AS903" t="str">
        <f t="shared" si="16"/>
        <v/>
      </c>
    </row>
    <row r="904" spans="1:45">
      <c r="B904" s="7">
        <v>45760</v>
      </c>
      <c r="C904" s="4">
        <v>45760</v>
      </c>
      <c r="D904">
        <f>C904-B904</f>
        <v>0</v>
      </c>
      <c r="E904" t="str">
        <f>TEXT(B904,"mmmm")</f>
        <v>April</v>
      </c>
      <c r="F904">
        <f>YEAR(B904)</f>
        <v>2025</v>
      </c>
      <c r="G904" t="s">
        <v>1221</v>
      </c>
      <c r="H904" t="s">
        <v>132</v>
      </c>
      <c r="I904" t="s">
        <v>37</v>
      </c>
      <c r="J904" t="s">
        <v>25</v>
      </c>
      <c r="K904" t="s">
        <v>136</v>
      </c>
      <c r="L904" t="s">
        <v>137</v>
      </c>
      <c r="M904" t="s">
        <v>28</v>
      </c>
      <c r="N904" t="s">
        <v>124</v>
      </c>
      <c r="O904" t="s">
        <v>1222</v>
      </c>
      <c r="P904" t="s">
        <v>31</v>
      </c>
      <c r="Q904">
        <v>9</v>
      </c>
      <c r="R904">
        <v>1118.68</v>
      </c>
      <c r="S904">
        <v>0</v>
      </c>
      <c r="T904" s="12">
        <f>S904</f>
        <v>0</v>
      </c>
      <c r="U904">
        <v>10348.43</v>
      </c>
      <c r="V904">
        <f>Q904*R904*(1-S904)</f>
        <v>10068.120000000001</v>
      </c>
      <c r="W904">
        <v>8595.3700000000008</v>
      </c>
      <c r="X904">
        <v>1472.75</v>
      </c>
      <c r="Y904">
        <f>V904-W904</f>
        <v>1472.75</v>
      </c>
      <c r="Z904" s="12">
        <f>Y904/V904</f>
        <v>0.14627855051389932</v>
      </c>
      <c r="AA904" t="s">
        <v>32</v>
      </c>
      <c r="AB904" t="s">
        <v>103</v>
      </c>
      <c r="AC904" s="14" t="s">
        <v>2794</v>
      </c>
      <c r="AD904" t="s">
        <v>2782</v>
      </c>
      <c r="AE904" t="str">
        <f>PROPER(TRIM(AB904))</f>
        <v>Returned</v>
      </c>
      <c r="AS904" t="str">
        <f t="shared" si="16"/>
        <v/>
      </c>
    </row>
    <row r="905" spans="1:45">
      <c r="B905" s="7">
        <v>45698</v>
      </c>
      <c r="C905" s="4">
        <v>45938</v>
      </c>
      <c r="D905">
        <f>C905-B905</f>
        <v>240</v>
      </c>
      <c r="E905" t="str">
        <f>TEXT(B905,"mmmm")</f>
        <v>February</v>
      </c>
      <c r="F905">
        <f>YEAR(B905)</f>
        <v>2025</v>
      </c>
      <c r="G905" t="s">
        <v>779</v>
      </c>
      <c r="H905" t="s">
        <v>47</v>
      </c>
      <c r="I905" t="s">
        <v>37</v>
      </c>
      <c r="J905" t="s">
        <v>25</v>
      </c>
      <c r="K905" t="s">
        <v>122</v>
      </c>
      <c r="L905" t="s">
        <v>123</v>
      </c>
      <c r="M905" t="s">
        <v>41</v>
      </c>
      <c r="N905" t="s">
        <v>57</v>
      </c>
      <c r="O905" t="s">
        <v>780</v>
      </c>
      <c r="P905" t="s">
        <v>59</v>
      </c>
      <c r="Q905">
        <v>4</v>
      </c>
      <c r="R905">
        <v>3944.64</v>
      </c>
      <c r="S905">
        <v>0.25</v>
      </c>
      <c r="T905" s="12">
        <f>S905</f>
        <v>0.25</v>
      </c>
      <c r="U905">
        <v>12116.89</v>
      </c>
      <c r="V905">
        <f>Q905*R905*(1-S905)</f>
        <v>11833.92</v>
      </c>
      <c r="W905">
        <v>6682.92</v>
      </c>
      <c r="X905">
        <v>5151</v>
      </c>
      <c r="Y905">
        <f>V905-W905</f>
        <v>5151</v>
      </c>
      <c r="Z905" s="12">
        <f>Y905/V905</f>
        <v>0.43527419485681834</v>
      </c>
      <c r="AA905" t="s">
        <v>32</v>
      </c>
      <c r="AB905" t="s">
        <v>103</v>
      </c>
      <c r="AC905" s="14" t="s">
        <v>2794</v>
      </c>
      <c r="AD905" t="s">
        <v>2782</v>
      </c>
      <c r="AE905" t="str">
        <f>PROPER(TRIM(AB905))</f>
        <v>Returned</v>
      </c>
      <c r="AS905" t="str">
        <f t="shared" si="16"/>
        <v/>
      </c>
    </row>
    <row r="906" spans="1:45">
      <c r="B906" s="7">
        <v>45795</v>
      </c>
      <c r="C906" s="4">
        <v>45797</v>
      </c>
      <c r="D906">
        <f>C906-B906</f>
        <v>2</v>
      </c>
      <c r="E906" t="str">
        <f>TEXT(B906,"mmmm")</f>
        <v>May</v>
      </c>
      <c r="F906">
        <f>YEAR(B906)</f>
        <v>2025</v>
      </c>
      <c r="G906" t="s">
        <v>1047</v>
      </c>
      <c r="H906" t="s">
        <v>47</v>
      </c>
      <c r="I906" t="s">
        <v>90</v>
      </c>
      <c r="J906" t="s">
        <v>63</v>
      </c>
      <c r="K906" t="s">
        <v>72</v>
      </c>
      <c r="L906" t="s">
        <v>73</v>
      </c>
      <c r="M906" t="s">
        <v>28</v>
      </c>
      <c r="N906" t="s">
        <v>91</v>
      </c>
      <c r="O906" t="s">
        <v>1048</v>
      </c>
      <c r="P906" t="s">
        <v>59</v>
      </c>
      <c r="Q906">
        <v>9</v>
      </c>
      <c r="R906">
        <v>847.76</v>
      </c>
      <c r="S906">
        <v>0.15</v>
      </c>
      <c r="T906" s="12">
        <f>S906</f>
        <v>0.15</v>
      </c>
      <c r="U906">
        <v>6589.37</v>
      </c>
      <c r="V906">
        <f>Q906*R906*(1-S906)</f>
        <v>6485.3639999999996</v>
      </c>
      <c r="W906">
        <v>5376.17</v>
      </c>
      <c r="X906">
        <v>1109.19</v>
      </c>
      <c r="Y906">
        <f>V906-W906</f>
        <v>1109.1939999999995</v>
      </c>
      <c r="Z906" s="12">
        <f>Y906/V906</f>
        <v>0.17103033846673826</v>
      </c>
      <c r="AA906" t="s">
        <v>155</v>
      </c>
      <c r="AB906" t="s">
        <v>33</v>
      </c>
      <c r="AC906" s="14" t="s">
        <v>2794</v>
      </c>
      <c r="AD906" t="s">
        <v>2782</v>
      </c>
      <c r="AE906" t="str">
        <f>PROPER(TRIM(AB906))</f>
        <v>Completed</v>
      </c>
      <c r="AS906" t="str">
        <f t="shared" si="16"/>
        <v/>
      </c>
    </row>
    <row r="907" spans="1:45">
      <c r="B907" s="7">
        <v>45907</v>
      </c>
      <c r="C907" s="4">
        <v>45915</v>
      </c>
      <c r="D907">
        <f>C907-B907</f>
        <v>8</v>
      </c>
      <c r="E907" t="str">
        <f>TEXT(B907,"mmmm")</f>
        <v>September</v>
      </c>
      <c r="F907">
        <f>YEAR(B907)</f>
        <v>2025</v>
      </c>
      <c r="G907" t="s">
        <v>619</v>
      </c>
      <c r="H907" t="s">
        <v>141</v>
      </c>
      <c r="I907" t="s">
        <v>90</v>
      </c>
      <c r="J907" t="s">
        <v>38</v>
      </c>
      <c r="K907" t="s">
        <v>145</v>
      </c>
      <c r="L907" t="s">
        <v>146</v>
      </c>
      <c r="M907" t="s">
        <v>74</v>
      </c>
      <c r="N907" t="s">
        <v>80</v>
      </c>
      <c r="O907" t="s">
        <v>620</v>
      </c>
      <c r="P907" t="s">
        <v>59</v>
      </c>
      <c r="Q907">
        <v>3</v>
      </c>
      <c r="R907">
        <v>1711.32</v>
      </c>
      <c r="S907">
        <v>0</v>
      </c>
      <c r="T907" s="12">
        <f>S907</f>
        <v>0</v>
      </c>
      <c r="U907">
        <v>5206.53</v>
      </c>
      <c r="V907">
        <f>Q907*R907*(1-S907)</f>
        <v>5133.96</v>
      </c>
      <c r="W907">
        <v>3930</v>
      </c>
      <c r="X907">
        <v>1203.96</v>
      </c>
      <c r="Y907">
        <f>V907-W907</f>
        <v>1203.96</v>
      </c>
      <c r="Z907" s="12">
        <f>Y907/V907</f>
        <v>0.23450903396208775</v>
      </c>
      <c r="AA907" t="s">
        <v>32</v>
      </c>
      <c r="AB907" t="s">
        <v>103</v>
      </c>
      <c r="AC907" s="14" t="s">
        <v>2794</v>
      </c>
      <c r="AD907" t="s">
        <v>2782</v>
      </c>
      <c r="AE907" t="str">
        <f>PROPER(TRIM(AB907))</f>
        <v>Returned</v>
      </c>
      <c r="AS907" t="str">
        <f t="shared" si="16"/>
        <v/>
      </c>
    </row>
    <row r="908" spans="1:45">
      <c r="B908" s="7">
        <v>45342</v>
      </c>
      <c r="C908" s="4">
        <v>45349</v>
      </c>
      <c r="D908">
        <f>C908-B908</f>
        <v>7</v>
      </c>
      <c r="E908" t="str">
        <f>TEXT(B908,"mmmm")</f>
        <v>February</v>
      </c>
      <c r="F908">
        <f>YEAR(B908)</f>
        <v>2024</v>
      </c>
      <c r="G908" t="s">
        <v>1370</v>
      </c>
      <c r="H908" t="s">
        <v>162</v>
      </c>
      <c r="I908" t="s">
        <v>24</v>
      </c>
      <c r="J908" t="s">
        <v>54</v>
      </c>
      <c r="K908" t="s">
        <v>185</v>
      </c>
      <c r="L908" t="s">
        <v>186</v>
      </c>
      <c r="M908" t="s">
        <v>74</v>
      </c>
      <c r="N908" t="s">
        <v>75</v>
      </c>
      <c r="O908" t="s">
        <v>1371</v>
      </c>
      <c r="P908" t="s">
        <v>50</v>
      </c>
      <c r="Q908">
        <v>9</v>
      </c>
      <c r="R908">
        <v>3779.31</v>
      </c>
      <c r="S908">
        <v>0.2</v>
      </c>
      <c r="T908" s="12">
        <f>S908</f>
        <v>0.2</v>
      </c>
      <c r="U908">
        <v>27322.9</v>
      </c>
      <c r="V908">
        <f>Q908*R908*(1-S908)</f>
        <v>27211.032000000003</v>
      </c>
      <c r="W908">
        <v>17940.43</v>
      </c>
      <c r="X908">
        <v>9270.6</v>
      </c>
      <c r="Y908">
        <f>V908-W908</f>
        <v>9270.6020000000026</v>
      </c>
      <c r="Z908" s="12">
        <f>Y908/V908</f>
        <v>0.34069277490100347</v>
      </c>
      <c r="AA908" t="s">
        <v>32</v>
      </c>
      <c r="AB908" t="s">
        <v>103</v>
      </c>
      <c r="AC908" s="14" t="s">
        <v>2794</v>
      </c>
      <c r="AD908" t="s">
        <v>2782</v>
      </c>
      <c r="AE908" t="str">
        <f>PROPER(TRIM(AB908))</f>
        <v>Returned</v>
      </c>
      <c r="AS908" t="str">
        <f t="shared" si="16"/>
        <v/>
      </c>
    </row>
    <row r="909" spans="1:45">
      <c r="B909" s="7">
        <v>45698</v>
      </c>
      <c r="C909" s="4">
        <v>45702</v>
      </c>
      <c r="D909">
        <f>C909-B909</f>
        <v>4</v>
      </c>
      <c r="E909" t="str">
        <f>TEXT(B909,"mmmm")</f>
        <v>February</v>
      </c>
      <c r="F909">
        <f>YEAR(B909)</f>
        <v>2025</v>
      </c>
      <c r="G909" t="s">
        <v>1808</v>
      </c>
      <c r="H909" t="s">
        <v>114</v>
      </c>
      <c r="I909" t="s">
        <v>37</v>
      </c>
      <c r="J909" t="s">
        <v>25</v>
      </c>
      <c r="K909" t="s">
        <v>136</v>
      </c>
      <c r="L909" t="s">
        <v>137</v>
      </c>
      <c r="M909" t="s">
        <v>74</v>
      </c>
      <c r="N909" t="s">
        <v>171</v>
      </c>
      <c r="O909" t="s">
        <v>1809</v>
      </c>
      <c r="P909" t="s">
        <v>2783</v>
      </c>
      <c r="Q909">
        <v>5</v>
      </c>
      <c r="R909">
        <v>4276.29</v>
      </c>
      <c r="S909">
        <v>0</v>
      </c>
      <c r="T909" s="12">
        <f>S909</f>
        <v>0</v>
      </c>
      <c r="U909">
        <v>21443.63</v>
      </c>
      <c r="V909">
        <f>Q909*R909*(1-S909)</f>
        <v>21381.45</v>
      </c>
      <c r="W909">
        <v>13240.21</v>
      </c>
      <c r="X909">
        <v>8141.24</v>
      </c>
      <c r="Y909">
        <f>V909-W909</f>
        <v>8141.2400000000016</v>
      </c>
      <c r="Z909" s="12">
        <f>Y909/V909</f>
        <v>0.38076182859441249</v>
      </c>
      <c r="AA909" t="s">
        <v>155</v>
      </c>
      <c r="AB909" t="s">
        <v>33</v>
      </c>
      <c r="AC909" s="10" t="s">
        <v>2795</v>
      </c>
      <c r="AD909" t="s">
        <v>2782</v>
      </c>
      <c r="AE909" t="str">
        <f>PROPER(TRIM(AB909))</f>
        <v>Completed</v>
      </c>
      <c r="AS909" t="str">
        <f t="shared" si="16"/>
        <v/>
      </c>
    </row>
    <row r="910" spans="1:45">
      <c r="B910" s="7">
        <v>45381</v>
      </c>
      <c r="C910" s="4">
        <v>45377</v>
      </c>
      <c r="D910" s="10">
        <f>C910-B910</f>
        <v>-4</v>
      </c>
      <c r="E910" t="str">
        <f>TEXT(B910,"mmmm")</f>
        <v>March</v>
      </c>
      <c r="F910">
        <f>YEAR(B910)</f>
        <v>2024</v>
      </c>
      <c r="G910" t="s">
        <v>536</v>
      </c>
      <c r="H910" t="s">
        <v>89</v>
      </c>
      <c r="I910" t="s">
        <v>95</v>
      </c>
      <c r="J910" t="s">
        <v>25</v>
      </c>
      <c r="K910" t="s">
        <v>26</v>
      </c>
      <c r="L910" t="s">
        <v>27</v>
      </c>
      <c r="M910" t="s">
        <v>74</v>
      </c>
      <c r="N910" t="s">
        <v>171</v>
      </c>
      <c r="O910" t="s">
        <v>537</v>
      </c>
      <c r="P910" t="s">
        <v>31</v>
      </c>
      <c r="Q910">
        <v>5</v>
      </c>
      <c r="R910">
        <v>907.54</v>
      </c>
      <c r="S910">
        <v>0.15</v>
      </c>
      <c r="T910" s="12">
        <f>S910</f>
        <v>0.15</v>
      </c>
      <c r="U910">
        <v>4099.6899999999996</v>
      </c>
      <c r="V910">
        <f>Q910*R910*(1-S910)</f>
        <v>3857.0449999999996</v>
      </c>
      <c r="W910">
        <v>2769.26</v>
      </c>
      <c r="X910">
        <v>1087.78</v>
      </c>
      <c r="Y910">
        <f>V910-W910</f>
        <v>1087.7849999999994</v>
      </c>
      <c r="Z910" s="12">
        <f>Y910/V910</f>
        <v>0.28202548842442843</v>
      </c>
      <c r="AA910" t="s">
        <v>32</v>
      </c>
      <c r="AB910" t="s">
        <v>103</v>
      </c>
      <c r="AC910" s="10" t="s">
        <v>2792</v>
      </c>
      <c r="AD910" t="s">
        <v>2782</v>
      </c>
      <c r="AE910" t="str">
        <f>PROPER(TRIM(AB910))</f>
        <v>Returned</v>
      </c>
      <c r="AS910" t="str">
        <f t="shared" si="16"/>
        <v/>
      </c>
    </row>
    <row r="911" spans="1:45">
      <c r="B911" s="7">
        <v>45522</v>
      </c>
      <c r="C911" s="4">
        <v>45528</v>
      </c>
      <c r="D911">
        <f>C911-B911</f>
        <v>6</v>
      </c>
      <c r="E911" t="str">
        <f>TEXT(B911,"mmmm")</f>
        <v>August</v>
      </c>
      <c r="F911">
        <f>YEAR(B911)</f>
        <v>2024</v>
      </c>
      <c r="G911" t="s">
        <v>922</v>
      </c>
      <c r="H911" t="s">
        <v>53</v>
      </c>
      <c r="I911" t="s">
        <v>24</v>
      </c>
      <c r="J911" t="s">
        <v>54</v>
      </c>
      <c r="K911" t="s">
        <v>84</v>
      </c>
      <c r="L911" t="s">
        <v>85</v>
      </c>
      <c r="M911" t="s">
        <v>41</v>
      </c>
      <c r="N911" t="s">
        <v>66</v>
      </c>
      <c r="O911" t="s">
        <v>923</v>
      </c>
      <c r="P911" t="s">
        <v>50</v>
      </c>
      <c r="Q911">
        <v>7</v>
      </c>
      <c r="R911">
        <v>557.21</v>
      </c>
      <c r="S911">
        <v>0.1</v>
      </c>
      <c r="T911" s="12">
        <f>S911</f>
        <v>0.1</v>
      </c>
      <c r="U911">
        <v>3797.79</v>
      </c>
      <c r="V911">
        <f>Q911*R911*(1-S911)</f>
        <v>3510.4230000000002</v>
      </c>
      <c r="W911">
        <v>2191.5</v>
      </c>
      <c r="X911">
        <v>1213.48</v>
      </c>
      <c r="Y911">
        <f>V911-W911</f>
        <v>1318.9230000000002</v>
      </c>
      <c r="Z911" s="12">
        <f>Y911/V911</f>
        <v>0.37571625983535323</v>
      </c>
      <c r="AA911" t="s">
        <v>32</v>
      </c>
      <c r="AB911" t="s">
        <v>103</v>
      </c>
      <c r="AC911" s="14" t="s">
        <v>2794</v>
      </c>
      <c r="AD911" t="s">
        <v>2782</v>
      </c>
      <c r="AE911" t="str">
        <f>PROPER(TRIM(AB911))</f>
        <v>Returned</v>
      </c>
      <c r="AS911" t="str">
        <f t="shared" si="16"/>
        <v/>
      </c>
    </row>
    <row r="912" spans="1:45">
      <c r="B912" s="7">
        <v>45436</v>
      </c>
      <c r="C912" s="4">
        <v>45437</v>
      </c>
      <c r="D912">
        <f>C912-B912</f>
        <v>1</v>
      </c>
      <c r="E912" t="str">
        <f>TEXT(B912,"mmmm")</f>
        <v>May</v>
      </c>
      <c r="F912">
        <f>YEAR(B912)</f>
        <v>2024</v>
      </c>
      <c r="G912" t="s">
        <v>479</v>
      </c>
      <c r="H912" t="s">
        <v>132</v>
      </c>
      <c r="I912" t="s">
        <v>37</v>
      </c>
      <c r="J912" t="s">
        <v>25</v>
      </c>
      <c r="K912" t="s">
        <v>122</v>
      </c>
      <c r="L912" t="s">
        <v>123</v>
      </c>
      <c r="M912" t="s">
        <v>74</v>
      </c>
      <c r="N912" t="s">
        <v>80</v>
      </c>
      <c r="O912" t="s">
        <v>480</v>
      </c>
      <c r="P912" t="s">
        <v>44</v>
      </c>
      <c r="Q912">
        <v>1</v>
      </c>
      <c r="R912">
        <v>634.13</v>
      </c>
      <c r="S912">
        <v>0</v>
      </c>
      <c r="T912" s="12">
        <f>S912</f>
        <v>0</v>
      </c>
      <c r="U912">
        <v>808.67</v>
      </c>
      <c r="V912">
        <f>Q912*R912*(1-S912)</f>
        <v>634.13</v>
      </c>
      <c r="W912">
        <v>453.35</v>
      </c>
      <c r="X912">
        <v>180.78</v>
      </c>
      <c r="Y912">
        <f>V912-W912</f>
        <v>180.77999999999997</v>
      </c>
      <c r="Z912" s="12">
        <f>Y912/V912</f>
        <v>0.28508350022865969</v>
      </c>
      <c r="AA912" t="s">
        <v>102</v>
      </c>
      <c r="AB912" t="s">
        <v>103</v>
      </c>
      <c r="AC912" s="14" t="s">
        <v>2794</v>
      </c>
      <c r="AD912" t="s">
        <v>2782</v>
      </c>
      <c r="AE912" t="str">
        <f>PROPER(TRIM(AB912))</f>
        <v>Returned</v>
      </c>
      <c r="AS912" t="str">
        <f t="shared" si="16"/>
        <v/>
      </c>
    </row>
    <row r="913" spans="2:45">
      <c r="B913" s="7">
        <v>45824</v>
      </c>
      <c r="C913" s="4">
        <v>45826</v>
      </c>
      <c r="D913">
        <f>C913-B913</f>
        <v>2</v>
      </c>
      <c r="E913" t="str">
        <f>TEXT(B913,"mmmm")</f>
        <v>June</v>
      </c>
      <c r="F913">
        <f>YEAR(B913)</f>
        <v>2025</v>
      </c>
      <c r="G913" t="s">
        <v>1109</v>
      </c>
      <c r="H913" t="s">
        <v>118</v>
      </c>
      <c r="I913" t="s">
        <v>95</v>
      </c>
      <c r="J913" t="s">
        <v>63</v>
      </c>
      <c r="K913" t="s">
        <v>72</v>
      </c>
      <c r="L913" t="s">
        <v>73</v>
      </c>
      <c r="M913" t="s">
        <v>28</v>
      </c>
      <c r="N913" t="s">
        <v>29</v>
      </c>
      <c r="O913" t="s">
        <v>1110</v>
      </c>
      <c r="P913" t="s">
        <v>50</v>
      </c>
      <c r="Q913">
        <v>3</v>
      </c>
      <c r="R913">
        <v>4289.37</v>
      </c>
      <c r="S913">
        <v>0.1</v>
      </c>
      <c r="T913" s="12">
        <f>S913</f>
        <v>0.1</v>
      </c>
      <c r="U913">
        <v>11778.71</v>
      </c>
      <c r="V913">
        <f>Q913*R913*(1-S913)</f>
        <v>11581.299000000001</v>
      </c>
      <c r="W913">
        <v>6829.43</v>
      </c>
      <c r="X913">
        <v>4751.87</v>
      </c>
      <c r="Y913">
        <f>V913-W913</f>
        <v>4751.8690000000006</v>
      </c>
      <c r="Z913" s="12">
        <f>Y913/V913</f>
        <v>0.41030535521101735</v>
      </c>
      <c r="AA913" t="s">
        <v>32</v>
      </c>
      <c r="AB913" t="s">
        <v>103</v>
      </c>
      <c r="AC913" s="14" t="s">
        <v>2794</v>
      </c>
      <c r="AD913" t="s">
        <v>2782</v>
      </c>
      <c r="AE913" t="str">
        <f>PROPER(TRIM(AB913))</f>
        <v>Returned</v>
      </c>
      <c r="AS913" t="str">
        <f t="shared" si="16"/>
        <v/>
      </c>
    </row>
    <row r="914" spans="2:45">
      <c r="B914"/>
      <c r="C914"/>
      <c r="T914" s="12"/>
      <c r="AS914" t="str">
        <f t="shared" si="16"/>
        <v/>
      </c>
    </row>
    <row r="915" spans="2:45">
      <c r="B915"/>
      <c r="C915"/>
      <c r="T915" s="12"/>
      <c r="AS915" t="str">
        <f t="shared" si="16"/>
        <v/>
      </c>
    </row>
    <row r="916" spans="2:45">
      <c r="B916"/>
      <c r="C916"/>
      <c r="T916" s="12"/>
      <c r="AS916" t="str">
        <f t="shared" si="16"/>
        <v/>
      </c>
    </row>
    <row r="917" spans="2:45">
      <c r="B917"/>
      <c r="C917"/>
      <c r="T917" s="12"/>
      <c r="AS917" t="str">
        <f t="shared" si="16"/>
        <v/>
      </c>
    </row>
    <row r="918" spans="2:45">
      <c r="B918"/>
      <c r="C918"/>
      <c r="T918" s="12"/>
      <c r="AS918" t="str">
        <f t="shared" si="16"/>
        <v/>
      </c>
    </row>
    <row r="919" spans="2:45">
      <c r="B919"/>
      <c r="C919"/>
      <c r="T919" s="12"/>
      <c r="AS919" t="str">
        <f t="shared" si="16"/>
        <v/>
      </c>
    </row>
    <row r="920" spans="2:45">
      <c r="B920"/>
      <c r="C920"/>
      <c r="T920" s="12"/>
      <c r="AS920" t="str">
        <f t="shared" si="16"/>
        <v/>
      </c>
    </row>
    <row r="921" spans="2:45">
      <c r="B921"/>
      <c r="C921"/>
      <c r="T921" s="12"/>
      <c r="AS921" t="str">
        <f t="shared" si="16"/>
        <v/>
      </c>
    </row>
    <row r="922" spans="2:45">
      <c r="B922"/>
      <c r="C922"/>
      <c r="T922" s="12"/>
      <c r="AS922" t="str">
        <f t="shared" si="16"/>
        <v/>
      </c>
    </row>
    <row r="923" spans="2:45">
      <c r="B923"/>
      <c r="C923"/>
      <c r="AS923" t="str">
        <f t="shared" si="16"/>
        <v/>
      </c>
    </row>
    <row r="924" spans="2:45">
      <c r="B924"/>
      <c r="C924"/>
      <c r="AS924" t="str">
        <f t="shared" si="16"/>
        <v/>
      </c>
    </row>
    <row r="925" spans="2:45">
      <c r="B925"/>
      <c r="C925"/>
      <c r="AS925" t="str">
        <f t="shared" si="16"/>
        <v/>
      </c>
    </row>
    <row r="926" spans="2:45">
      <c r="B926"/>
      <c r="C926"/>
      <c r="AS926" t="str">
        <f t="shared" si="16"/>
        <v/>
      </c>
    </row>
    <row r="927" spans="2:45">
      <c r="B927"/>
      <c r="C927"/>
      <c r="AS927" t="str">
        <f t="shared" si="16"/>
        <v/>
      </c>
    </row>
    <row r="928" spans="2:45">
      <c r="B928"/>
      <c r="C928"/>
      <c r="AS928" t="str">
        <f t="shared" si="16"/>
        <v/>
      </c>
    </row>
    <row r="929" spans="2:45">
      <c r="B929"/>
      <c r="C929"/>
      <c r="AS929" t="str">
        <f t="shared" si="16"/>
        <v/>
      </c>
    </row>
    <row r="930" spans="2:45">
      <c r="B930"/>
      <c r="C930"/>
      <c r="AS930" t="str">
        <f t="shared" si="16"/>
        <v/>
      </c>
    </row>
    <row r="931" spans="2:45">
      <c r="B931"/>
      <c r="C931"/>
      <c r="AS931" t="str">
        <f t="shared" si="16"/>
        <v/>
      </c>
    </row>
    <row r="932" spans="2:45">
      <c r="B932"/>
      <c r="C932"/>
      <c r="AS932" t="str">
        <f t="shared" si="16"/>
        <v/>
      </c>
    </row>
    <row r="933" spans="2:45">
      <c r="B933"/>
      <c r="C933"/>
      <c r="AS933" t="str">
        <f t="shared" si="16"/>
        <v/>
      </c>
    </row>
  </sheetData>
  <autoFilter ref="A1:AS9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7" workbookViewId="0">
      <selection activeCell="F7" sqref="F7"/>
    </sheetView>
  </sheetViews>
  <sheetFormatPr defaultRowHeight="13.8"/>
  <cols>
    <col min="1" max="2" width="28" customWidth="1"/>
  </cols>
  <sheetData>
    <row r="1" spans="1:2" ht="22.35" customHeight="1">
      <c r="A1" s="1" t="s">
        <v>2760</v>
      </c>
      <c r="B1" s="1" t="s">
        <v>2761</v>
      </c>
    </row>
    <row r="2" spans="1:2" ht="41.4">
      <c r="A2" s="2" t="s">
        <v>2762</v>
      </c>
      <c r="B2" s="2" t="s">
        <v>2763</v>
      </c>
    </row>
    <row r="3" spans="1:2" ht="27.6">
      <c r="A3" s="2" t="s">
        <v>2764</v>
      </c>
      <c r="B3" s="2" t="s">
        <v>2765</v>
      </c>
    </row>
    <row r="4" spans="1:2" ht="27.6">
      <c r="A4" s="2" t="s">
        <v>2766</v>
      </c>
      <c r="B4" s="2" t="s">
        <v>2765</v>
      </c>
    </row>
    <row r="5" spans="1:2" ht="27.6">
      <c r="A5" s="2" t="s">
        <v>2767</v>
      </c>
      <c r="B5" s="2" t="s">
        <v>2768</v>
      </c>
    </row>
    <row r="6" spans="1:2" ht="41.4">
      <c r="A6" s="2" t="s">
        <v>2769</v>
      </c>
      <c r="B6" s="2" t="s">
        <v>2770</v>
      </c>
    </row>
    <row r="7" spans="1:2" ht="55.2">
      <c r="A7" s="2" t="s">
        <v>2771</v>
      </c>
      <c r="B7" s="2" t="s">
        <v>2772</v>
      </c>
    </row>
    <row r="8" spans="1:2" ht="27.6">
      <c r="A8" s="2" t="s">
        <v>2773</v>
      </c>
      <c r="B8" s="2" t="s">
        <v>2774</v>
      </c>
    </row>
    <row r="9" spans="1:2" ht="41.4">
      <c r="A9" s="2" t="s">
        <v>2775</v>
      </c>
      <c r="B9" s="2" t="s">
        <v>2776</v>
      </c>
    </row>
    <row r="10" spans="1:2" ht="69">
      <c r="A10" s="2" t="s">
        <v>2777</v>
      </c>
      <c r="B10" s="2" t="s">
        <v>2778</v>
      </c>
    </row>
    <row r="11" spans="1:2" ht="41.4">
      <c r="A11" s="2" t="s">
        <v>2779</v>
      </c>
      <c r="B11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modified xsi:type="dcterms:W3CDTF">2026-06-18T12:12:46Z</dcterms:modified>
</cp:coreProperties>
</file>